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kko\Documents\Luleå Damjun\Uusi kansio\"/>
    </mc:Choice>
  </mc:AlternateContent>
  <xr:revisionPtr revIDLastSave="0" documentId="8_{616ECC34-A0AD-4176-A7B6-EB8FB82C7BA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Players" sheetId="1" r:id="rId1"/>
    <sheet name="Teams" sheetId="2" r:id="rId2"/>
  </sheets>
  <definedNames>
    <definedName name="_xlnm._FilterDatabase" localSheetId="0" hidden="1">Players!$A$1:$AQ$248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75" i="1" l="1"/>
  <c r="AQ190" i="1"/>
  <c r="AQ195" i="1"/>
  <c r="AQ216" i="1"/>
  <c r="AQ237" i="1"/>
  <c r="AQ167" i="1"/>
  <c r="AQ242" i="1"/>
  <c r="AQ179" i="1"/>
  <c r="AQ165" i="1"/>
  <c r="AQ196" i="1"/>
  <c r="AQ4" i="1"/>
  <c r="AQ191" i="1"/>
  <c r="AQ238" i="1"/>
  <c r="AQ101" i="1"/>
  <c r="AQ126" i="1"/>
  <c r="AQ118" i="1"/>
  <c r="AQ148" i="1"/>
  <c r="AQ21" i="1"/>
  <c r="AQ163" i="1"/>
  <c r="AQ146" i="1"/>
  <c r="AQ108" i="1"/>
  <c r="AQ221" i="1"/>
  <c r="AQ14" i="1"/>
  <c r="AQ10" i="1"/>
  <c r="AQ40" i="1"/>
  <c r="AQ84" i="1"/>
  <c r="AQ198" i="1"/>
  <c r="AQ69" i="1"/>
  <c r="AQ76" i="1"/>
  <c r="AQ13" i="1"/>
  <c r="AQ243" i="1"/>
  <c r="AQ17" i="1"/>
  <c r="AQ222" i="1"/>
  <c r="AQ119" i="1"/>
  <c r="AQ210" i="1"/>
  <c r="AQ105" i="1"/>
  <c r="AQ104" i="1"/>
  <c r="AQ47" i="1"/>
  <c r="AQ50" i="1"/>
  <c r="AQ97" i="1"/>
  <c r="AQ164" i="1"/>
  <c r="AQ136" i="1"/>
  <c r="AQ147" i="1"/>
  <c r="AQ59" i="1"/>
  <c r="AQ48" i="1"/>
  <c r="AQ45" i="1"/>
  <c r="AQ23" i="1"/>
  <c r="AQ133" i="1"/>
  <c r="AQ120" i="1"/>
  <c r="AQ8" i="1"/>
  <c r="AQ55" i="1"/>
  <c r="AQ232" i="1"/>
  <c r="AQ80" i="1"/>
  <c r="AQ51" i="1"/>
  <c r="AQ83" i="1"/>
  <c r="AQ87" i="1"/>
  <c r="AQ79" i="1"/>
  <c r="AQ161" i="1"/>
  <c r="AQ153" i="1"/>
  <c r="AQ231" i="1"/>
  <c r="AQ49" i="1"/>
  <c r="AQ205" i="1"/>
  <c r="AQ103" i="1"/>
  <c r="AQ90" i="1"/>
  <c r="AQ113" i="1"/>
  <c r="AQ33" i="1"/>
  <c r="AQ34" i="1"/>
  <c r="AQ39" i="1"/>
  <c r="AQ30" i="1"/>
  <c r="AQ159" i="1"/>
  <c r="AQ228" i="1"/>
  <c r="AQ62" i="1"/>
  <c r="AQ98" i="1"/>
  <c r="AQ149" i="1"/>
  <c r="AQ77" i="1"/>
  <c r="AQ194" i="1"/>
  <c r="AQ53" i="1"/>
  <c r="AQ58" i="1"/>
  <c r="AQ208" i="1"/>
  <c r="AQ123" i="1"/>
  <c r="AQ22" i="1"/>
  <c r="AQ60" i="1"/>
  <c r="AQ125" i="1"/>
  <c r="AQ20" i="1"/>
  <c r="AQ117" i="1"/>
  <c r="AQ211" i="1"/>
  <c r="AQ121" i="1"/>
  <c r="AQ204" i="1"/>
  <c r="AQ25" i="1"/>
  <c r="AQ197" i="1"/>
  <c r="AQ5" i="1"/>
  <c r="AQ162" i="1"/>
  <c r="AQ169" i="1"/>
  <c r="AQ18" i="1"/>
  <c r="AQ37" i="1"/>
  <c r="AQ145" i="1"/>
  <c r="AQ233" i="1"/>
  <c r="AQ63" i="1"/>
  <c r="AQ138" i="1"/>
  <c r="AQ12" i="1"/>
  <c r="AQ200" i="1"/>
  <c r="AQ102" i="1"/>
  <c r="AQ187" i="1"/>
  <c r="AQ15" i="1"/>
  <c r="AQ127" i="1"/>
  <c r="AQ95" i="1"/>
  <c r="AQ16" i="1"/>
  <c r="AQ180" i="1"/>
  <c r="AQ6" i="1"/>
  <c r="AQ186" i="1"/>
  <c r="AQ44" i="1"/>
  <c r="AQ71" i="1"/>
  <c r="AQ172" i="1"/>
  <c r="AQ154" i="1"/>
  <c r="AQ189" i="1"/>
  <c r="AQ11" i="1"/>
  <c r="AQ68" i="1"/>
  <c r="AQ124" i="1"/>
  <c r="AQ171" i="1"/>
  <c r="AQ66" i="1"/>
  <c r="AQ82" i="1"/>
  <c r="AQ185" i="1"/>
  <c r="AQ135" i="1"/>
  <c r="AQ106" i="1"/>
  <c r="AQ70" i="1"/>
  <c r="AQ176" i="1"/>
  <c r="AQ38" i="1"/>
  <c r="AQ128" i="1"/>
  <c r="AQ150" i="1"/>
  <c r="AQ94" i="1"/>
  <c r="AQ170" i="1"/>
  <c r="AQ107" i="1"/>
  <c r="AQ54" i="1"/>
  <c r="AQ86" i="1"/>
  <c r="AQ134" i="1"/>
  <c r="AQ72" i="1"/>
  <c r="AQ130" i="1"/>
  <c r="AQ91" i="1"/>
  <c r="AQ173" i="1"/>
  <c r="AQ160" i="1"/>
  <c r="AQ168" i="1"/>
  <c r="AQ99" i="1"/>
  <c r="AQ235" i="1"/>
  <c r="AQ141" i="1"/>
  <c r="AQ9" i="1"/>
  <c r="AQ29" i="1"/>
  <c r="AQ2" i="1"/>
  <c r="AQ93" i="1"/>
  <c r="AQ215" i="1"/>
  <c r="AQ27" i="1"/>
  <c r="AQ199" i="1"/>
  <c r="AQ85" i="1"/>
  <c r="AQ24" i="1"/>
  <c r="AQ64" i="1"/>
  <c r="AQ41" i="1"/>
  <c r="AQ65" i="1"/>
  <c r="AQ151" i="1"/>
  <c r="AQ122" i="1"/>
  <c r="AQ109" i="1"/>
  <c r="AQ96" i="1"/>
  <c r="AQ202" i="1"/>
  <c r="AQ46" i="1"/>
  <c r="AQ177" i="1"/>
  <c r="AQ3" i="1"/>
  <c r="AQ26" i="1"/>
  <c r="AQ36" i="1"/>
  <c r="AQ19" i="1"/>
  <c r="AQ7" i="1"/>
  <c r="AQ74" i="1"/>
  <c r="AQ75" i="1"/>
  <c r="AQ57" i="1"/>
  <c r="AQ236" i="1"/>
  <c r="AQ81" i="1"/>
  <c r="AQ241" i="1"/>
  <c r="AQ181" i="1"/>
  <c r="AQ31" i="1"/>
  <c r="AQ88" i="1"/>
  <c r="AQ89" i="1"/>
  <c r="AQ206" i="1"/>
  <c r="AQ184" i="1"/>
  <c r="AQ67" i="1"/>
  <c r="AQ112" i="1"/>
  <c r="AQ137" i="1"/>
  <c r="AQ140" i="1"/>
  <c r="AQ152" i="1"/>
  <c r="AQ111" i="1"/>
  <c r="AQ110" i="1"/>
  <c r="AQ201" i="1"/>
  <c r="AQ132" i="1"/>
  <c r="AQ114" i="1"/>
  <c r="AQ100" i="1"/>
  <c r="AQ158" i="1"/>
  <c r="AQ218" i="1"/>
  <c r="AQ234" i="1"/>
  <c r="AQ35" i="1"/>
  <c r="AQ157" i="1"/>
  <c r="AQ156" i="1"/>
  <c r="AQ28" i="1"/>
  <c r="AQ183" i="1"/>
  <c r="AQ143" i="1"/>
  <c r="AQ115" i="1"/>
  <c r="AQ78" i="1"/>
  <c r="AQ92" i="1"/>
  <c r="AQ240" i="1"/>
  <c r="AQ116" i="1"/>
  <c r="AQ61" i="1"/>
  <c r="AQ52" i="1"/>
  <c r="AQ193" i="1"/>
  <c r="AQ188" i="1"/>
  <c r="AQ32" i="1"/>
  <c r="AQ56" i="1"/>
  <c r="AQ207" i="1"/>
  <c r="AQ174" i="1"/>
  <c r="AQ182" i="1"/>
  <c r="AQ223" i="1"/>
  <c r="AQ144" i="1"/>
  <c r="AQ142" i="1"/>
  <c r="AQ43" i="1"/>
  <c r="AQ73" i="1"/>
  <c r="AQ209" i="1"/>
  <c r="AQ42" i="1"/>
  <c r="AQ214" i="1"/>
  <c r="AQ139" i="1"/>
  <c r="AQ224" i="1"/>
  <c r="AQ131" i="1"/>
  <c r="AQ220" i="1"/>
  <c r="AQ166" i="1"/>
  <c r="AQ213" i="1"/>
  <c r="AQ178" i="1"/>
  <c r="AQ192" i="1"/>
  <c r="AQ129" i="1"/>
  <c r="AQ155" i="1"/>
  <c r="AQ203" i="1"/>
  <c r="AQ230" i="1"/>
  <c r="AQ244" i="1"/>
  <c r="AQ239" i="1"/>
  <c r="AQ217" i="1"/>
  <c r="AQ219" i="1"/>
  <c r="AQ229" i="1"/>
  <c r="AQ212" i="1"/>
  <c r="AQ226" i="1"/>
  <c r="AQ227" i="1"/>
  <c r="AQ245" i="1"/>
  <c r="AQ246" i="1"/>
  <c r="AQ247" i="1"/>
  <c r="AQ248" i="1"/>
  <c r="AQ225" i="1"/>
  <c r="AM175" i="1"/>
  <c r="AM190" i="1"/>
  <c r="AM195" i="1"/>
  <c r="AM216" i="1"/>
  <c r="AM237" i="1"/>
  <c r="AM167" i="1"/>
  <c r="AM242" i="1"/>
  <c r="AM179" i="1"/>
  <c r="AM165" i="1"/>
  <c r="AM196" i="1"/>
  <c r="AM4" i="1"/>
  <c r="AM191" i="1"/>
  <c r="AM238" i="1"/>
  <c r="AM101" i="1"/>
  <c r="AM126" i="1"/>
  <c r="AM118" i="1"/>
  <c r="AM148" i="1"/>
  <c r="AM21" i="1"/>
  <c r="AM163" i="1"/>
  <c r="AM146" i="1"/>
  <c r="AM108" i="1"/>
  <c r="AM221" i="1"/>
  <c r="AM14" i="1"/>
  <c r="AM10" i="1"/>
  <c r="AM40" i="1"/>
  <c r="AM84" i="1"/>
  <c r="AM198" i="1"/>
  <c r="AM69" i="1"/>
  <c r="AM76" i="1"/>
  <c r="AM13" i="1"/>
  <c r="AM243" i="1"/>
  <c r="AM17" i="1"/>
  <c r="AM222" i="1"/>
  <c r="AM119" i="1"/>
  <c r="AM210" i="1"/>
  <c r="AM105" i="1"/>
  <c r="AM104" i="1"/>
  <c r="AM47" i="1"/>
  <c r="AM50" i="1"/>
  <c r="AM97" i="1"/>
  <c r="AM164" i="1"/>
  <c r="AM136" i="1"/>
  <c r="AM147" i="1"/>
  <c r="AM59" i="1"/>
  <c r="AM48" i="1"/>
  <c r="AM45" i="1"/>
  <c r="AM23" i="1"/>
  <c r="AM133" i="1"/>
  <c r="AM120" i="1"/>
  <c r="AM8" i="1"/>
  <c r="AM55" i="1"/>
  <c r="AM232" i="1"/>
  <c r="AM80" i="1"/>
  <c r="AM51" i="1"/>
  <c r="AM83" i="1"/>
  <c r="AM87" i="1"/>
  <c r="AM79" i="1"/>
  <c r="AM161" i="1"/>
  <c r="AM153" i="1"/>
  <c r="AM231" i="1"/>
  <c r="AM49" i="1"/>
  <c r="AM205" i="1"/>
  <c r="AM103" i="1"/>
  <c r="AM90" i="1"/>
  <c r="AM113" i="1"/>
  <c r="AM33" i="1"/>
  <c r="AM34" i="1"/>
  <c r="AM39" i="1"/>
  <c r="AM30" i="1"/>
  <c r="AM159" i="1"/>
  <c r="AM228" i="1"/>
  <c r="AM62" i="1"/>
  <c r="AM98" i="1"/>
  <c r="AM149" i="1"/>
  <c r="AM77" i="1"/>
  <c r="AM194" i="1"/>
  <c r="AM53" i="1"/>
  <c r="AM58" i="1"/>
  <c r="AM208" i="1"/>
  <c r="AM123" i="1"/>
  <c r="AM22" i="1"/>
  <c r="AM60" i="1"/>
  <c r="AM125" i="1"/>
  <c r="AM20" i="1"/>
  <c r="AM117" i="1"/>
  <c r="AM211" i="1"/>
  <c r="AM121" i="1"/>
  <c r="AM204" i="1"/>
  <c r="AM25" i="1"/>
  <c r="AM197" i="1"/>
  <c r="AM5" i="1"/>
  <c r="AM162" i="1"/>
  <c r="AM169" i="1"/>
  <c r="AM18" i="1"/>
  <c r="AM37" i="1"/>
  <c r="AM145" i="1"/>
  <c r="AM233" i="1"/>
  <c r="AM63" i="1"/>
  <c r="AM138" i="1"/>
  <c r="AM12" i="1"/>
  <c r="AM200" i="1"/>
  <c r="AM102" i="1"/>
  <c r="AM187" i="1"/>
  <c r="AM15" i="1"/>
  <c r="AM127" i="1"/>
  <c r="AM95" i="1"/>
  <c r="AM16" i="1"/>
  <c r="AM180" i="1"/>
  <c r="AM6" i="1"/>
  <c r="AM186" i="1"/>
  <c r="AM44" i="1"/>
  <c r="AM71" i="1"/>
  <c r="AM172" i="1"/>
  <c r="AM154" i="1"/>
  <c r="AM189" i="1"/>
  <c r="AM11" i="1"/>
  <c r="AM68" i="1"/>
  <c r="AM124" i="1"/>
  <c r="AM171" i="1"/>
  <c r="AM66" i="1"/>
  <c r="AM82" i="1"/>
  <c r="AM185" i="1"/>
  <c r="AM135" i="1"/>
  <c r="AM106" i="1"/>
  <c r="AM70" i="1"/>
  <c r="AM176" i="1"/>
  <c r="AM38" i="1"/>
  <c r="AM128" i="1"/>
  <c r="AM150" i="1"/>
  <c r="AM94" i="1"/>
  <c r="AM170" i="1"/>
  <c r="AM107" i="1"/>
  <c r="AM54" i="1"/>
  <c r="AM86" i="1"/>
  <c r="AM134" i="1"/>
  <c r="AM72" i="1"/>
  <c r="AM130" i="1"/>
  <c r="AM91" i="1"/>
  <c r="AM173" i="1"/>
  <c r="AM160" i="1"/>
  <c r="AM168" i="1"/>
  <c r="AM99" i="1"/>
  <c r="AM235" i="1"/>
  <c r="AM141" i="1"/>
  <c r="AM9" i="1"/>
  <c r="AM29" i="1"/>
  <c r="AM2" i="1"/>
  <c r="AM93" i="1"/>
  <c r="AM215" i="1"/>
  <c r="AM27" i="1"/>
  <c r="AM199" i="1"/>
  <c r="AM85" i="1"/>
  <c r="AM24" i="1"/>
  <c r="AM64" i="1"/>
  <c r="AM41" i="1"/>
  <c r="AM65" i="1"/>
  <c r="AM151" i="1"/>
  <c r="AM122" i="1"/>
  <c r="AM109" i="1"/>
  <c r="AM96" i="1"/>
  <c r="AM202" i="1"/>
  <c r="AM46" i="1"/>
  <c r="AM177" i="1"/>
  <c r="AM3" i="1"/>
  <c r="AM26" i="1"/>
  <c r="AM36" i="1"/>
  <c r="AM19" i="1"/>
  <c r="AM7" i="1"/>
  <c r="AM74" i="1"/>
  <c r="AM75" i="1"/>
  <c r="AM57" i="1"/>
  <c r="AM236" i="1"/>
  <c r="AM81" i="1"/>
  <c r="AM241" i="1"/>
  <c r="AM181" i="1"/>
  <c r="AM31" i="1"/>
  <c r="AM88" i="1"/>
  <c r="AM89" i="1"/>
  <c r="AM206" i="1"/>
  <c r="AM184" i="1"/>
  <c r="AM67" i="1"/>
  <c r="AM112" i="1"/>
  <c r="AM137" i="1"/>
  <c r="AM140" i="1"/>
  <c r="AM152" i="1"/>
  <c r="AM111" i="1"/>
  <c r="AM110" i="1"/>
  <c r="AM201" i="1"/>
  <c r="AM132" i="1"/>
  <c r="AM114" i="1"/>
  <c r="AM100" i="1"/>
  <c r="AM158" i="1"/>
  <c r="AM218" i="1"/>
  <c r="AM234" i="1"/>
  <c r="AM35" i="1"/>
  <c r="AM157" i="1"/>
  <c r="AM156" i="1"/>
  <c r="AM28" i="1"/>
  <c r="AM183" i="1"/>
  <c r="AM143" i="1"/>
  <c r="AM115" i="1"/>
  <c r="AM78" i="1"/>
  <c r="AM92" i="1"/>
  <c r="AM240" i="1"/>
  <c r="AM116" i="1"/>
  <c r="AM61" i="1"/>
  <c r="AM52" i="1"/>
  <c r="AM193" i="1"/>
  <c r="AM188" i="1"/>
  <c r="AM32" i="1"/>
  <c r="AM56" i="1"/>
  <c r="AM207" i="1"/>
  <c r="AM174" i="1"/>
  <c r="AM182" i="1"/>
  <c r="AM223" i="1"/>
  <c r="AM144" i="1"/>
  <c r="AM142" i="1"/>
  <c r="AM43" i="1"/>
  <c r="AM73" i="1"/>
  <c r="AM209" i="1"/>
  <c r="AM42" i="1"/>
  <c r="AM214" i="1"/>
  <c r="AM139" i="1"/>
  <c r="AM224" i="1"/>
  <c r="AM131" i="1"/>
  <c r="AM220" i="1"/>
  <c r="AM166" i="1"/>
  <c r="AM213" i="1"/>
  <c r="AM178" i="1"/>
  <c r="AM192" i="1"/>
  <c r="AM129" i="1"/>
  <c r="AM155" i="1"/>
  <c r="AM203" i="1"/>
  <c r="AM230" i="1"/>
  <c r="AM244" i="1"/>
  <c r="AM239" i="1"/>
  <c r="AM217" i="1"/>
  <c r="AM219" i="1"/>
  <c r="AM229" i="1"/>
  <c r="AM212" i="1"/>
  <c r="AM226" i="1"/>
  <c r="AM227" i="1"/>
  <c r="AM245" i="1"/>
  <c r="AM246" i="1"/>
  <c r="AM247" i="1"/>
  <c r="AM248" i="1"/>
  <c r="AM225" i="1"/>
  <c r="AJ175" i="1"/>
  <c r="AJ190" i="1"/>
  <c r="AJ195" i="1"/>
  <c r="AJ216" i="1"/>
  <c r="AJ237" i="1"/>
  <c r="AJ167" i="1"/>
  <c r="AJ242" i="1"/>
  <c r="AJ179" i="1"/>
  <c r="AJ165" i="1"/>
  <c r="AJ196" i="1"/>
  <c r="AJ4" i="1"/>
  <c r="AJ191" i="1"/>
  <c r="AJ238" i="1"/>
  <c r="AJ101" i="1"/>
  <c r="AJ126" i="1"/>
  <c r="AJ118" i="1"/>
  <c r="AJ148" i="1"/>
  <c r="AJ21" i="1"/>
  <c r="AJ163" i="1"/>
  <c r="AJ146" i="1"/>
  <c r="AJ108" i="1"/>
  <c r="AJ221" i="1"/>
  <c r="AJ14" i="1"/>
  <c r="AJ10" i="1"/>
  <c r="AJ40" i="1"/>
  <c r="AJ84" i="1"/>
  <c r="AJ198" i="1"/>
  <c r="AJ69" i="1"/>
  <c r="AJ76" i="1"/>
  <c r="AJ13" i="1"/>
  <c r="AJ243" i="1"/>
  <c r="AJ17" i="1"/>
  <c r="AJ222" i="1"/>
  <c r="AJ119" i="1"/>
  <c r="AJ210" i="1"/>
  <c r="AJ105" i="1"/>
  <c r="AJ104" i="1"/>
  <c r="AJ47" i="1"/>
  <c r="AJ50" i="1"/>
  <c r="AJ97" i="1"/>
  <c r="AJ164" i="1"/>
  <c r="AJ136" i="1"/>
  <c r="AJ147" i="1"/>
  <c r="AJ59" i="1"/>
  <c r="AJ48" i="1"/>
  <c r="AJ45" i="1"/>
  <c r="AJ23" i="1"/>
  <c r="AJ133" i="1"/>
  <c r="AJ120" i="1"/>
  <c r="AJ8" i="1"/>
  <c r="AJ55" i="1"/>
  <c r="AJ232" i="1"/>
  <c r="AJ80" i="1"/>
  <c r="AJ51" i="1"/>
  <c r="AJ83" i="1"/>
  <c r="AJ87" i="1"/>
  <c r="AJ79" i="1"/>
  <c r="AJ161" i="1"/>
  <c r="AJ153" i="1"/>
  <c r="AJ231" i="1"/>
  <c r="AJ49" i="1"/>
  <c r="AJ205" i="1"/>
  <c r="AJ103" i="1"/>
  <c r="AJ90" i="1"/>
  <c r="AJ113" i="1"/>
  <c r="AJ33" i="1"/>
  <c r="AJ34" i="1"/>
  <c r="AJ39" i="1"/>
  <c r="AJ30" i="1"/>
  <c r="AJ159" i="1"/>
  <c r="AJ228" i="1"/>
  <c r="AJ62" i="1"/>
  <c r="AJ98" i="1"/>
  <c r="AJ149" i="1"/>
  <c r="AJ77" i="1"/>
  <c r="AJ194" i="1"/>
  <c r="AJ53" i="1"/>
  <c r="AJ58" i="1"/>
  <c r="AJ208" i="1"/>
  <c r="AJ123" i="1"/>
  <c r="AJ22" i="1"/>
  <c r="AJ60" i="1"/>
  <c r="AJ125" i="1"/>
  <c r="AJ20" i="1"/>
  <c r="AJ117" i="1"/>
  <c r="AJ211" i="1"/>
  <c r="AJ121" i="1"/>
  <c r="AJ204" i="1"/>
  <c r="AJ25" i="1"/>
  <c r="AJ197" i="1"/>
  <c r="AJ5" i="1"/>
  <c r="AJ162" i="1"/>
  <c r="AJ169" i="1"/>
  <c r="AJ18" i="1"/>
  <c r="AJ37" i="1"/>
  <c r="AJ145" i="1"/>
  <c r="AJ233" i="1"/>
  <c r="AJ63" i="1"/>
  <c r="AJ138" i="1"/>
  <c r="AJ12" i="1"/>
  <c r="AJ200" i="1"/>
  <c r="AJ102" i="1"/>
  <c r="AJ187" i="1"/>
  <c r="AJ15" i="1"/>
  <c r="AJ127" i="1"/>
  <c r="AJ95" i="1"/>
  <c r="AJ16" i="1"/>
  <c r="AJ180" i="1"/>
  <c r="AJ6" i="1"/>
  <c r="AJ186" i="1"/>
  <c r="AJ44" i="1"/>
  <c r="AJ71" i="1"/>
  <c r="AJ172" i="1"/>
  <c r="AJ154" i="1"/>
  <c r="AJ189" i="1"/>
  <c r="AJ11" i="1"/>
  <c r="AJ68" i="1"/>
  <c r="AJ124" i="1"/>
  <c r="AJ171" i="1"/>
  <c r="AJ66" i="1"/>
  <c r="AJ82" i="1"/>
  <c r="AJ185" i="1"/>
  <c r="AJ135" i="1"/>
  <c r="AJ106" i="1"/>
  <c r="AJ70" i="1"/>
  <c r="AJ176" i="1"/>
  <c r="AJ38" i="1"/>
  <c r="AJ128" i="1"/>
  <c r="AJ150" i="1"/>
  <c r="AJ94" i="1"/>
  <c r="AJ170" i="1"/>
  <c r="AJ107" i="1"/>
  <c r="AJ54" i="1"/>
  <c r="AJ86" i="1"/>
  <c r="AJ134" i="1"/>
  <c r="AJ72" i="1"/>
  <c r="AJ130" i="1"/>
  <c r="AJ91" i="1"/>
  <c r="AJ173" i="1"/>
  <c r="AJ160" i="1"/>
  <c r="AJ168" i="1"/>
  <c r="AJ99" i="1"/>
  <c r="AJ235" i="1"/>
  <c r="AJ141" i="1"/>
  <c r="AJ9" i="1"/>
  <c r="AJ29" i="1"/>
  <c r="AJ2" i="1"/>
  <c r="AJ93" i="1"/>
  <c r="AJ215" i="1"/>
  <c r="AJ27" i="1"/>
  <c r="AJ199" i="1"/>
  <c r="AJ85" i="1"/>
  <c r="AJ24" i="1"/>
  <c r="AJ64" i="1"/>
  <c r="AJ41" i="1"/>
  <c r="AJ65" i="1"/>
  <c r="AJ151" i="1"/>
  <c r="AJ122" i="1"/>
  <c r="AJ109" i="1"/>
  <c r="AJ96" i="1"/>
  <c r="AJ202" i="1"/>
  <c r="AJ46" i="1"/>
  <c r="AJ177" i="1"/>
  <c r="AJ3" i="1"/>
  <c r="AJ26" i="1"/>
  <c r="AJ36" i="1"/>
  <c r="AJ19" i="1"/>
  <c r="AJ7" i="1"/>
  <c r="AJ74" i="1"/>
  <c r="AJ75" i="1"/>
  <c r="AJ57" i="1"/>
  <c r="AJ236" i="1"/>
  <c r="AJ81" i="1"/>
  <c r="AJ241" i="1"/>
  <c r="AJ181" i="1"/>
  <c r="AJ31" i="1"/>
  <c r="AJ88" i="1"/>
  <c r="AJ89" i="1"/>
  <c r="AJ206" i="1"/>
  <c r="AJ184" i="1"/>
  <c r="AJ67" i="1"/>
  <c r="AJ112" i="1"/>
  <c r="AJ137" i="1"/>
  <c r="AJ140" i="1"/>
  <c r="AJ152" i="1"/>
  <c r="AJ111" i="1"/>
  <c r="AJ110" i="1"/>
  <c r="AJ201" i="1"/>
  <c r="AJ132" i="1"/>
  <c r="AJ114" i="1"/>
  <c r="AJ100" i="1"/>
  <c r="AJ158" i="1"/>
  <c r="AJ218" i="1"/>
  <c r="AJ234" i="1"/>
  <c r="AJ35" i="1"/>
  <c r="AJ157" i="1"/>
  <c r="AJ156" i="1"/>
  <c r="AJ28" i="1"/>
  <c r="AJ183" i="1"/>
  <c r="AJ143" i="1"/>
  <c r="AJ115" i="1"/>
  <c r="AJ78" i="1"/>
  <c r="AJ92" i="1"/>
  <c r="AJ240" i="1"/>
  <c r="AJ116" i="1"/>
  <c r="AJ61" i="1"/>
  <c r="AJ52" i="1"/>
  <c r="AJ193" i="1"/>
  <c r="AJ188" i="1"/>
  <c r="AJ32" i="1"/>
  <c r="AJ56" i="1"/>
  <c r="AJ207" i="1"/>
  <c r="AJ174" i="1"/>
  <c r="AJ182" i="1"/>
  <c r="AJ223" i="1"/>
  <c r="AJ144" i="1"/>
  <c r="AJ142" i="1"/>
  <c r="AJ43" i="1"/>
  <c r="AJ73" i="1"/>
  <c r="AJ209" i="1"/>
  <c r="AJ42" i="1"/>
  <c r="AJ214" i="1"/>
  <c r="AJ139" i="1"/>
  <c r="AJ224" i="1"/>
  <c r="AJ131" i="1"/>
  <c r="AJ220" i="1"/>
  <c r="AJ166" i="1"/>
  <c r="AJ213" i="1"/>
  <c r="AJ178" i="1"/>
  <c r="AJ192" i="1"/>
  <c r="AJ129" i="1"/>
  <c r="AJ155" i="1"/>
  <c r="AJ203" i="1"/>
  <c r="AJ230" i="1"/>
  <c r="AJ244" i="1"/>
  <c r="AJ239" i="1"/>
  <c r="AJ217" i="1"/>
  <c r="AJ219" i="1"/>
  <c r="AJ229" i="1"/>
  <c r="AJ212" i="1"/>
  <c r="AJ226" i="1"/>
  <c r="AJ227" i="1"/>
  <c r="AJ245" i="1"/>
  <c r="AJ246" i="1"/>
  <c r="AJ247" i="1"/>
  <c r="AJ248" i="1"/>
  <c r="AJ225" i="1"/>
  <c r="AE175" i="1"/>
  <c r="AE190" i="1"/>
  <c r="AE195" i="1"/>
  <c r="AE216" i="1"/>
  <c r="AE237" i="1"/>
  <c r="AE167" i="1"/>
  <c r="AE242" i="1"/>
  <c r="AE179" i="1"/>
  <c r="AE165" i="1"/>
  <c r="AE196" i="1"/>
  <c r="AE4" i="1"/>
  <c r="AE191" i="1"/>
  <c r="AE238" i="1"/>
  <c r="AE101" i="1"/>
  <c r="AE126" i="1"/>
  <c r="AE118" i="1"/>
  <c r="AE148" i="1"/>
  <c r="AE21" i="1"/>
  <c r="AE163" i="1"/>
  <c r="AE146" i="1"/>
  <c r="AE108" i="1"/>
  <c r="AE221" i="1"/>
  <c r="AE14" i="1"/>
  <c r="AE10" i="1"/>
  <c r="AE40" i="1"/>
  <c r="AE84" i="1"/>
  <c r="AE198" i="1"/>
  <c r="AE69" i="1"/>
  <c r="AE76" i="1"/>
  <c r="AE13" i="1"/>
  <c r="AE243" i="1"/>
  <c r="AE17" i="1"/>
  <c r="AE222" i="1"/>
  <c r="AE119" i="1"/>
  <c r="AE210" i="1"/>
  <c r="AE105" i="1"/>
  <c r="AE104" i="1"/>
  <c r="AE47" i="1"/>
  <c r="AE50" i="1"/>
  <c r="AE97" i="1"/>
  <c r="AE164" i="1"/>
  <c r="AE136" i="1"/>
  <c r="AE147" i="1"/>
  <c r="AE59" i="1"/>
  <c r="AE48" i="1"/>
  <c r="AE45" i="1"/>
  <c r="AE23" i="1"/>
  <c r="AE133" i="1"/>
  <c r="AE120" i="1"/>
  <c r="AE8" i="1"/>
  <c r="AE55" i="1"/>
  <c r="AE232" i="1"/>
  <c r="AE80" i="1"/>
  <c r="AE51" i="1"/>
  <c r="AE83" i="1"/>
  <c r="AE87" i="1"/>
  <c r="AE79" i="1"/>
  <c r="AE161" i="1"/>
  <c r="AE153" i="1"/>
  <c r="AE231" i="1"/>
  <c r="AE49" i="1"/>
  <c r="AE205" i="1"/>
  <c r="AE103" i="1"/>
  <c r="AE90" i="1"/>
  <c r="AE113" i="1"/>
  <c r="AE33" i="1"/>
  <c r="AE34" i="1"/>
  <c r="AE39" i="1"/>
  <c r="AE30" i="1"/>
  <c r="AE159" i="1"/>
  <c r="AE228" i="1"/>
  <c r="AE62" i="1"/>
  <c r="AE98" i="1"/>
  <c r="AE149" i="1"/>
  <c r="AE77" i="1"/>
  <c r="AE194" i="1"/>
  <c r="AE53" i="1"/>
  <c r="AE58" i="1"/>
  <c r="AE208" i="1"/>
  <c r="AE123" i="1"/>
  <c r="AE22" i="1"/>
  <c r="AE60" i="1"/>
  <c r="AE125" i="1"/>
  <c r="AE20" i="1"/>
  <c r="AE117" i="1"/>
  <c r="AE211" i="1"/>
  <c r="AE121" i="1"/>
  <c r="AE204" i="1"/>
  <c r="AE25" i="1"/>
  <c r="AE197" i="1"/>
  <c r="AE5" i="1"/>
  <c r="AE162" i="1"/>
  <c r="AE169" i="1"/>
  <c r="AE18" i="1"/>
  <c r="AE37" i="1"/>
  <c r="AE145" i="1"/>
  <c r="AE233" i="1"/>
  <c r="AE63" i="1"/>
  <c r="AE138" i="1"/>
  <c r="AE12" i="1"/>
  <c r="AE200" i="1"/>
  <c r="AE102" i="1"/>
  <c r="AE187" i="1"/>
  <c r="AE15" i="1"/>
  <c r="AE127" i="1"/>
  <c r="AE95" i="1"/>
  <c r="AE16" i="1"/>
  <c r="AE180" i="1"/>
  <c r="AE6" i="1"/>
  <c r="AE186" i="1"/>
  <c r="AE44" i="1"/>
  <c r="AE71" i="1"/>
  <c r="AE172" i="1"/>
  <c r="AE154" i="1"/>
  <c r="AE189" i="1"/>
  <c r="AE11" i="1"/>
  <c r="AE68" i="1"/>
  <c r="AE124" i="1"/>
  <c r="AE171" i="1"/>
  <c r="AE66" i="1"/>
  <c r="AE82" i="1"/>
  <c r="AE185" i="1"/>
  <c r="AE135" i="1"/>
  <c r="AE106" i="1"/>
  <c r="AE70" i="1"/>
  <c r="AE176" i="1"/>
  <c r="AE38" i="1"/>
  <c r="AE128" i="1"/>
  <c r="AE150" i="1"/>
  <c r="AE94" i="1"/>
  <c r="AE170" i="1"/>
  <c r="AE107" i="1"/>
  <c r="AE54" i="1"/>
  <c r="AE86" i="1"/>
  <c r="AE134" i="1"/>
  <c r="AE72" i="1"/>
  <c r="AE130" i="1"/>
  <c r="AE91" i="1"/>
  <c r="AE173" i="1"/>
  <c r="AE160" i="1"/>
  <c r="AE168" i="1"/>
  <c r="AE99" i="1"/>
  <c r="AE235" i="1"/>
  <c r="AE141" i="1"/>
  <c r="AE9" i="1"/>
  <c r="AE29" i="1"/>
  <c r="AE2" i="1"/>
  <c r="AE93" i="1"/>
  <c r="AE215" i="1"/>
  <c r="AE27" i="1"/>
  <c r="AE199" i="1"/>
  <c r="AE85" i="1"/>
  <c r="AE24" i="1"/>
  <c r="AE64" i="1"/>
  <c r="AE41" i="1"/>
  <c r="AE65" i="1"/>
  <c r="AE151" i="1"/>
  <c r="AE122" i="1"/>
  <c r="AE109" i="1"/>
  <c r="AE96" i="1"/>
  <c r="AE202" i="1"/>
  <c r="AE46" i="1"/>
  <c r="AE177" i="1"/>
  <c r="AE3" i="1"/>
  <c r="AE26" i="1"/>
  <c r="AE36" i="1"/>
  <c r="AE19" i="1"/>
  <c r="AE7" i="1"/>
  <c r="AE74" i="1"/>
  <c r="AE75" i="1"/>
  <c r="AE57" i="1"/>
  <c r="AE236" i="1"/>
  <c r="AE81" i="1"/>
  <c r="AE241" i="1"/>
  <c r="AE181" i="1"/>
  <c r="AE31" i="1"/>
  <c r="AE88" i="1"/>
  <c r="AE89" i="1"/>
  <c r="AE206" i="1"/>
  <c r="AE184" i="1"/>
  <c r="AE67" i="1"/>
  <c r="AE112" i="1"/>
  <c r="AE137" i="1"/>
  <c r="AE140" i="1"/>
  <c r="AE152" i="1"/>
  <c r="AE111" i="1"/>
  <c r="AE110" i="1"/>
  <c r="AE201" i="1"/>
  <c r="AE132" i="1"/>
  <c r="AE114" i="1"/>
  <c r="AE100" i="1"/>
  <c r="AE158" i="1"/>
  <c r="AE218" i="1"/>
  <c r="AE234" i="1"/>
  <c r="AE35" i="1"/>
  <c r="AE157" i="1"/>
  <c r="AE156" i="1"/>
  <c r="AE28" i="1"/>
  <c r="AE183" i="1"/>
  <c r="AE143" i="1"/>
  <c r="AE115" i="1"/>
  <c r="AE78" i="1"/>
  <c r="AE92" i="1"/>
  <c r="AE240" i="1"/>
  <c r="AE116" i="1"/>
  <c r="AE61" i="1"/>
  <c r="AE52" i="1"/>
  <c r="AE193" i="1"/>
  <c r="AE188" i="1"/>
  <c r="AE32" i="1"/>
  <c r="AE56" i="1"/>
  <c r="AE207" i="1"/>
  <c r="AE174" i="1"/>
  <c r="AE182" i="1"/>
  <c r="AE223" i="1"/>
  <c r="AE144" i="1"/>
  <c r="AE142" i="1"/>
  <c r="AE43" i="1"/>
  <c r="AE73" i="1"/>
  <c r="AE209" i="1"/>
  <c r="AE42" i="1"/>
  <c r="AE214" i="1"/>
  <c r="AE139" i="1"/>
  <c r="AE224" i="1"/>
  <c r="AE131" i="1"/>
  <c r="AE220" i="1"/>
  <c r="AE166" i="1"/>
  <c r="AE213" i="1"/>
  <c r="AE178" i="1"/>
  <c r="AE192" i="1"/>
  <c r="AE129" i="1"/>
  <c r="AE155" i="1"/>
  <c r="AE203" i="1"/>
  <c r="AE230" i="1"/>
  <c r="AE244" i="1"/>
  <c r="AE239" i="1"/>
  <c r="AE217" i="1"/>
  <c r="AE219" i="1"/>
  <c r="AE229" i="1"/>
  <c r="AE212" i="1"/>
  <c r="AE226" i="1"/>
  <c r="AE227" i="1"/>
  <c r="AE245" i="1"/>
  <c r="AE246" i="1"/>
  <c r="AE247" i="1"/>
  <c r="AE248" i="1"/>
  <c r="AE225" i="1"/>
  <c r="AC236" i="1"/>
  <c r="AC235" i="1"/>
  <c r="AC214" i="1"/>
  <c r="AC220" i="1"/>
  <c r="AC54" i="1"/>
  <c r="AC199" i="1"/>
  <c r="AC29" i="1"/>
  <c r="AC62" i="1"/>
  <c r="AC3" i="1"/>
  <c r="AC200" i="1"/>
  <c r="AC88" i="1"/>
  <c r="AC132" i="1"/>
  <c r="AC67" i="1"/>
  <c r="AC111" i="1"/>
  <c r="AC61" i="1"/>
  <c r="AC190" i="1"/>
  <c r="AC198" i="1"/>
  <c r="AC35" i="1"/>
  <c r="AC151" i="1"/>
  <c r="AC128" i="1"/>
  <c r="AC157" i="1"/>
  <c r="AC109" i="1"/>
  <c r="AC188" i="1"/>
  <c r="AC70" i="1"/>
  <c r="AC27" i="1"/>
  <c r="AC26" i="1"/>
  <c r="AC141" i="1"/>
  <c r="AC129" i="1"/>
  <c r="AC149" i="1"/>
  <c r="AC82" i="1"/>
  <c r="AC150" i="1"/>
  <c r="AC64" i="1"/>
  <c r="AC32" i="1"/>
  <c r="AC181" i="1"/>
  <c r="AC74" i="1"/>
  <c r="AC56" i="1"/>
  <c r="AC166" i="1"/>
  <c r="AC147" i="1"/>
  <c r="AC24" i="1"/>
  <c r="AC12" i="1"/>
  <c r="AC143" i="1"/>
  <c r="AC41" i="1"/>
  <c r="AC89" i="1"/>
  <c r="AC9" i="1"/>
  <c r="AC83" i="1"/>
  <c r="AC183" i="1"/>
  <c r="AC140" i="1"/>
  <c r="AC127" i="1"/>
  <c r="AC99" i="1"/>
  <c r="AC52" i="1"/>
  <c r="AC90" i="1"/>
  <c r="AC134" i="1"/>
  <c r="AC63" i="1"/>
  <c r="AC76" i="1"/>
  <c r="AC122" i="1"/>
  <c r="AC115" i="1"/>
  <c r="AC197" i="1"/>
  <c r="AC57" i="1"/>
  <c r="AC91" i="1"/>
  <c r="AC176" i="1"/>
  <c r="AC16" i="1"/>
  <c r="AC107" i="1"/>
  <c r="AC106" i="1"/>
  <c r="AC66" i="1"/>
  <c r="AC182" i="1"/>
  <c r="AC85" i="1"/>
  <c r="AC100" i="1"/>
  <c r="AC120" i="1"/>
  <c r="AC168" i="1"/>
  <c r="AC14" i="1"/>
  <c r="AC156" i="1"/>
  <c r="AC4" i="1"/>
  <c r="AC102" i="1"/>
  <c r="AC137" i="1"/>
  <c r="AC154" i="1"/>
  <c r="AC75" i="1"/>
  <c r="AC148" i="1"/>
  <c r="AC6" i="1"/>
  <c r="AC8" i="1"/>
  <c r="AC93" i="1"/>
  <c r="AC117" i="1"/>
  <c r="AC49" i="1"/>
  <c r="AC60" i="1"/>
  <c r="AC87" i="1"/>
  <c r="AC44" i="1"/>
  <c r="AC53" i="1"/>
  <c r="AC18" i="1"/>
  <c r="AC239" i="1"/>
  <c r="AC228" i="1"/>
  <c r="AC237" i="1"/>
  <c r="AC2" i="1"/>
  <c r="AC194" i="1"/>
  <c r="AC15" i="1"/>
  <c r="AC86" i="1"/>
  <c r="AC189" i="1"/>
  <c r="AC28" i="1"/>
  <c r="AC144" i="1"/>
  <c r="AC5" i="1"/>
  <c r="AC42" i="1"/>
  <c r="AC211" i="1"/>
  <c r="AC92" i="1"/>
  <c r="AC96" i="1"/>
  <c r="AC203" i="1"/>
  <c r="AC46" i="1"/>
  <c r="AC196" i="1"/>
  <c r="AC112" i="1"/>
  <c r="AC217" i="1"/>
  <c r="AC77" i="1"/>
  <c r="AC213" i="1"/>
  <c r="AC193" i="1"/>
  <c r="AC142" i="1"/>
  <c r="AC184" i="1"/>
  <c r="AC101" i="1"/>
  <c r="AC178" i="1"/>
  <c r="AC240" i="1"/>
  <c r="AC201" i="1"/>
  <c r="AC219" i="1"/>
  <c r="AC208" i="1"/>
  <c r="AC242" i="1"/>
  <c r="AC177" i="1"/>
  <c r="AC69" i="1"/>
  <c r="AC48" i="1"/>
  <c r="AC229" i="1"/>
  <c r="AC59" i="1"/>
  <c r="AC202" i="1"/>
  <c r="AC162" i="1"/>
  <c r="AC231" i="1"/>
  <c r="AC165" i="1"/>
  <c r="AC164" i="1"/>
  <c r="AC232" i="1"/>
  <c r="AC206" i="1"/>
  <c r="AC133" i="1"/>
  <c r="AC223" i="1"/>
  <c r="AC212" i="1"/>
  <c r="AC222" i="1"/>
  <c r="AC173" i="1"/>
  <c r="AC218" i="1"/>
  <c r="AC221" i="1"/>
  <c r="AC226" i="1"/>
  <c r="AC209" i="1"/>
  <c r="AC210" i="1"/>
  <c r="AC215" i="1"/>
  <c r="AC225" i="1"/>
  <c r="AC227" i="1"/>
  <c r="AC224" i="1"/>
  <c r="AC238" i="1"/>
  <c r="AC243" i="1"/>
  <c r="AC245" i="1"/>
  <c r="AC246" i="1"/>
  <c r="AC241" i="1"/>
  <c r="AC247" i="1"/>
  <c r="AC248" i="1"/>
  <c r="AC13" i="1"/>
  <c r="AC103" i="1"/>
  <c r="AC38" i="1"/>
  <c r="AC51" i="1"/>
  <c r="AC21" i="1"/>
  <c r="AC31" i="1"/>
  <c r="AC55" i="1"/>
  <c r="AC19" i="1"/>
  <c r="AC34" i="1"/>
  <c r="AC123" i="1"/>
  <c r="AC171" i="1"/>
  <c r="AC130" i="1"/>
  <c r="AC116" i="1"/>
  <c r="AC158" i="1"/>
  <c r="AC79" i="1"/>
  <c r="AC104" i="1"/>
  <c r="AC139" i="1"/>
  <c r="AC110" i="1"/>
  <c r="AC192" i="1"/>
  <c r="AC30" i="1"/>
  <c r="AC105" i="1"/>
  <c r="AC40" i="1"/>
  <c r="AC81" i="1"/>
  <c r="AC124" i="1"/>
  <c r="AC95" i="1"/>
  <c r="AC72" i="1"/>
  <c r="AC119" i="1"/>
  <c r="AC152" i="1"/>
  <c r="AC36" i="1"/>
  <c r="AC43" i="1"/>
  <c r="AC65" i="1"/>
  <c r="AC174" i="1"/>
  <c r="AC73" i="1"/>
  <c r="AC126" i="1"/>
  <c r="AC163" i="1"/>
  <c r="AC37" i="1"/>
  <c r="AC172" i="1"/>
  <c r="AC7" i="1"/>
  <c r="AC10" i="1"/>
  <c r="AC20" i="1"/>
  <c r="AC78" i="1"/>
  <c r="AC25" i="1"/>
  <c r="AC131" i="1"/>
  <c r="AC121" i="1"/>
  <c r="AC97" i="1"/>
  <c r="AC50" i="1"/>
  <c r="AC39" i="1"/>
  <c r="AC191" i="1"/>
  <c r="AC80" i="1"/>
  <c r="AC113" i="1"/>
  <c r="AC11" i="1"/>
  <c r="AC204" i="1"/>
  <c r="AC68" i="1"/>
  <c r="AC84" i="1"/>
  <c r="AC58" i="1"/>
  <c r="AC45" i="1"/>
  <c r="AC160" i="1"/>
  <c r="AC146" i="1"/>
  <c r="AC47" i="1"/>
  <c r="AC98" i="1"/>
  <c r="AC71" i="1"/>
  <c r="AC17" i="1"/>
  <c r="AC159" i="1"/>
  <c r="AC175" i="1"/>
  <c r="AC169" i="1"/>
  <c r="AC167" i="1"/>
  <c r="AC145" i="1"/>
  <c r="AC94" i="1"/>
  <c r="AC186" i="1"/>
  <c r="AC23" i="1"/>
  <c r="AC138" i="1"/>
  <c r="AC136" i="1"/>
  <c r="AC114" i="1"/>
  <c r="AC187" i="1"/>
  <c r="AC153" i="1"/>
  <c r="AC207" i="1"/>
  <c r="AC195" i="1"/>
  <c r="AC118" i="1"/>
  <c r="AC33" i="1"/>
  <c r="AC185" i="1"/>
  <c r="AC108" i="1"/>
  <c r="AC135" i="1"/>
  <c r="AC125" i="1"/>
  <c r="AC170" i="1"/>
  <c r="AC216" i="1"/>
  <c r="AC161" i="1"/>
  <c r="AC155" i="1"/>
  <c r="AC179" i="1"/>
  <c r="AC22" i="1"/>
  <c r="AC180" i="1"/>
  <c r="AC234" i="1"/>
  <c r="AC230" i="1"/>
  <c r="AC205" i="1"/>
  <c r="AC233" i="1"/>
  <c r="AC244" i="1"/>
  <c r="P197" i="1"/>
  <c r="P158" i="1"/>
  <c r="P195" i="1"/>
  <c r="P42" i="1"/>
  <c r="P199" i="1"/>
  <c r="P66" i="1"/>
  <c r="P85" i="1"/>
  <c r="P88" i="1"/>
  <c r="P63" i="1"/>
  <c r="P183" i="1"/>
  <c r="P151" i="1"/>
  <c r="P35" i="1"/>
  <c r="P194" i="1"/>
  <c r="P117" i="1"/>
  <c r="P191" i="1"/>
  <c r="P156" i="1"/>
  <c r="P18" i="1"/>
  <c r="P26" i="1"/>
  <c r="P106" i="1"/>
  <c r="P150" i="1"/>
  <c r="P74" i="1"/>
  <c r="P71" i="1"/>
  <c r="P31" i="1"/>
  <c r="P94" i="1"/>
  <c r="P56" i="1"/>
  <c r="P61" i="1"/>
  <c r="P15" i="1"/>
  <c r="P44" i="1"/>
  <c r="P43" i="1"/>
  <c r="P70" i="1"/>
  <c r="P137" i="1"/>
  <c r="P24" i="1"/>
  <c r="P184" i="1"/>
  <c r="P68" i="1"/>
  <c r="P115" i="1"/>
  <c r="P11" i="1"/>
  <c r="P107" i="1"/>
  <c r="P32" i="1"/>
  <c r="P134" i="1"/>
  <c r="P188" i="1"/>
  <c r="P91" i="1"/>
  <c r="P93" i="1"/>
  <c r="P62" i="1"/>
  <c r="P100" i="1"/>
  <c r="P3" i="1"/>
  <c r="P87" i="1"/>
  <c r="P136" i="1"/>
  <c r="P128" i="1"/>
  <c r="P141" i="1"/>
  <c r="P185" i="1"/>
  <c r="P135" i="1"/>
  <c r="P92" i="1"/>
  <c r="P99" i="1"/>
  <c r="P86" i="1"/>
  <c r="P16" i="1"/>
  <c r="P98" i="1"/>
  <c r="P67" i="1"/>
  <c r="P69" i="1"/>
  <c r="P28" i="1"/>
  <c r="P37" i="1"/>
  <c r="P97" i="1"/>
  <c r="P192" i="1"/>
  <c r="P90" i="1"/>
  <c r="P33" i="1"/>
  <c r="P196" i="1"/>
  <c r="P22" i="1"/>
  <c r="P17" i="1"/>
  <c r="P12" i="1"/>
  <c r="P20" i="1"/>
  <c r="P9" i="1"/>
  <c r="P169" i="1"/>
  <c r="P112" i="1"/>
  <c r="P2" i="1"/>
  <c r="P172" i="1"/>
  <c r="P118" i="1"/>
  <c r="P27" i="1"/>
  <c r="P182" i="1"/>
  <c r="P29" i="1"/>
  <c r="P126" i="1"/>
  <c r="P127" i="1"/>
  <c r="P174" i="1"/>
  <c r="P116" i="1"/>
  <c r="P144" i="1"/>
  <c r="P168" i="1"/>
  <c r="P157" i="1"/>
  <c r="P38" i="1"/>
  <c r="P53" i="1"/>
  <c r="P200" i="1"/>
  <c r="P171" i="1"/>
  <c r="P110" i="1"/>
  <c r="P25" i="1"/>
  <c r="P82" i="1"/>
  <c r="P4" i="1"/>
  <c r="P153" i="1"/>
  <c r="P96" i="1"/>
  <c r="P7" i="1"/>
  <c r="P36" i="1"/>
  <c r="P64" i="1"/>
  <c r="P83" i="1"/>
  <c r="P198" i="1"/>
  <c r="P114" i="1"/>
  <c r="P78" i="1"/>
  <c r="P75" i="1"/>
  <c r="P111" i="1"/>
  <c r="P5" i="1"/>
  <c r="P84" i="1"/>
  <c r="P14" i="1"/>
  <c r="P47" i="1"/>
  <c r="P132" i="1"/>
  <c r="P189" i="1"/>
  <c r="P140" i="1"/>
  <c r="P138" i="1"/>
  <c r="P6" i="1"/>
  <c r="P8" i="1"/>
  <c r="P57" i="1"/>
  <c r="P166" i="1"/>
  <c r="P108" i="1"/>
  <c r="P176" i="1"/>
  <c r="P190" i="1"/>
  <c r="P104" i="1"/>
  <c r="P49" i="1"/>
  <c r="P119" i="1"/>
  <c r="P133" i="1"/>
  <c r="P77" i="1"/>
  <c r="P163" i="1"/>
  <c r="P73" i="1"/>
  <c r="P130" i="1"/>
  <c r="P76" i="1"/>
  <c r="P175" i="1"/>
  <c r="P120" i="1"/>
  <c r="P142" i="1"/>
  <c r="P109" i="1"/>
  <c r="P105" i="1"/>
  <c r="P52" i="1"/>
  <c r="P154" i="1"/>
  <c r="P13" i="1"/>
  <c r="P143" i="1"/>
  <c r="P89" i="1"/>
  <c r="P123" i="1"/>
  <c r="P148" i="1"/>
  <c r="P46" i="1"/>
  <c r="P122" i="1"/>
  <c r="P80" i="1"/>
  <c r="P50" i="1"/>
  <c r="P147" i="1"/>
  <c r="P65" i="1"/>
  <c r="P48" i="1"/>
  <c r="P55" i="1"/>
  <c r="P21" i="1"/>
  <c r="P51" i="1"/>
  <c r="P60" i="1"/>
  <c r="P101" i="1"/>
  <c r="P40" i="1"/>
  <c r="P10" i="1"/>
  <c r="P59" i="1"/>
  <c r="P41" i="1"/>
  <c r="P58" i="1"/>
  <c r="P30" i="1"/>
  <c r="P34" i="1"/>
  <c r="P45" i="1"/>
  <c r="P39" i="1"/>
  <c r="P19" i="1"/>
  <c r="P23" i="1"/>
  <c r="P79" i="1"/>
  <c r="P72" i="1"/>
  <c r="P81" i="1"/>
  <c r="P102" i="1"/>
  <c r="P95" i="1"/>
  <c r="P103" i="1"/>
  <c r="P113" i="1"/>
  <c r="P121" i="1"/>
  <c r="P124" i="1"/>
  <c r="P125" i="1"/>
  <c r="P129" i="1"/>
  <c r="P131" i="1"/>
  <c r="P139" i="1"/>
  <c r="P146" i="1"/>
  <c r="P145" i="1"/>
  <c r="P152" i="1"/>
  <c r="P155" i="1"/>
  <c r="P159" i="1"/>
  <c r="P162" i="1"/>
  <c r="P160" i="1"/>
  <c r="P161" i="1"/>
  <c r="P165" i="1"/>
  <c r="P164" i="1"/>
  <c r="P170" i="1"/>
  <c r="P167" i="1"/>
  <c r="P173" i="1"/>
  <c r="P178" i="1"/>
  <c r="P177" i="1"/>
  <c r="P180" i="1"/>
  <c r="P179" i="1"/>
  <c r="P181" i="1"/>
  <c r="P187" i="1"/>
  <c r="P186" i="1"/>
  <c r="P193" i="1"/>
  <c r="P201" i="1"/>
  <c r="P202" i="1"/>
  <c r="P203" i="1"/>
  <c r="P205" i="1"/>
  <c r="P204" i="1"/>
  <c r="P206" i="1"/>
  <c r="P208" i="1"/>
  <c r="P209" i="1"/>
  <c r="P207" i="1"/>
  <c r="P213" i="1"/>
  <c r="P212" i="1"/>
  <c r="P210" i="1"/>
  <c r="P217" i="1"/>
  <c r="P211" i="1"/>
  <c r="P218" i="1"/>
  <c r="P215" i="1"/>
  <c r="P214" i="1"/>
  <c r="P216" i="1"/>
  <c r="P219" i="1"/>
  <c r="P220" i="1"/>
  <c r="P225" i="1"/>
  <c r="P227" i="1"/>
  <c r="P223" i="1"/>
  <c r="P222" i="1"/>
  <c r="P224" i="1"/>
  <c r="P221" i="1"/>
  <c r="P226" i="1"/>
  <c r="P228" i="1"/>
  <c r="P232" i="1"/>
  <c r="P231" i="1"/>
  <c r="P229" i="1"/>
  <c r="P230" i="1"/>
  <c r="P233" i="1"/>
  <c r="P238" i="1"/>
  <c r="P236" i="1"/>
  <c r="P234" i="1"/>
  <c r="P242" i="1"/>
  <c r="P243" i="1"/>
  <c r="P245" i="1"/>
  <c r="P246" i="1"/>
  <c r="P241" i="1"/>
  <c r="P247" i="1"/>
  <c r="P248" i="1"/>
  <c r="P240" i="1"/>
  <c r="P244" i="1"/>
  <c r="P235" i="1"/>
  <c r="P54" i="1"/>
  <c r="P149" i="1"/>
  <c r="P239" i="1"/>
  <c r="P237" i="1"/>
  <c r="I235" i="1"/>
  <c r="I54" i="1"/>
  <c r="I149" i="1"/>
  <c r="I239" i="1"/>
  <c r="I197" i="1"/>
  <c r="I158" i="1"/>
  <c r="I195" i="1"/>
  <c r="I42" i="1"/>
  <c r="I199" i="1"/>
  <c r="I66" i="1"/>
  <c r="I85" i="1"/>
  <c r="I88" i="1"/>
  <c r="I63" i="1"/>
  <c r="I183" i="1"/>
  <c r="I151" i="1"/>
  <c r="I35" i="1"/>
  <c r="I194" i="1"/>
  <c r="I117" i="1"/>
  <c r="I191" i="1"/>
  <c r="I156" i="1"/>
  <c r="I18" i="1"/>
  <c r="I26" i="1"/>
  <c r="I106" i="1"/>
  <c r="I150" i="1"/>
  <c r="I74" i="1"/>
  <c r="I71" i="1"/>
  <c r="I31" i="1"/>
  <c r="I94" i="1"/>
  <c r="I56" i="1"/>
  <c r="I61" i="1"/>
  <c r="I15" i="1"/>
  <c r="I44" i="1"/>
  <c r="I43" i="1"/>
  <c r="I70" i="1"/>
  <c r="I137" i="1"/>
  <c r="I24" i="1"/>
  <c r="I184" i="1"/>
  <c r="I68" i="1"/>
  <c r="I115" i="1"/>
  <c r="I11" i="1"/>
  <c r="I107" i="1"/>
  <c r="I32" i="1"/>
  <c r="I134" i="1"/>
  <c r="I188" i="1"/>
  <c r="I91" i="1"/>
  <c r="I93" i="1"/>
  <c r="I62" i="1"/>
  <c r="I100" i="1"/>
  <c r="I3" i="1"/>
  <c r="I87" i="1"/>
  <c r="I136" i="1"/>
  <c r="I128" i="1"/>
  <c r="I141" i="1"/>
  <c r="I185" i="1"/>
  <c r="I135" i="1"/>
  <c r="I92" i="1"/>
  <c r="I99" i="1"/>
  <c r="I86" i="1"/>
  <c r="I16" i="1"/>
  <c r="I98" i="1"/>
  <c r="I67" i="1"/>
  <c r="I69" i="1"/>
  <c r="I28" i="1"/>
  <c r="I37" i="1"/>
  <c r="I97" i="1"/>
  <c r="I192" i="1"/>
  <c r="I90" i="1"/>
  <c r="I33" i="1"/>
  <c r="I196" i="1"/>
  <c r="I22" i="1"/>
  <c r="I17" i="1"/>
  <c r="I12" i="1"/>
  <c r="I20" i="1"/>
  <c r="I9" i="1"/>
  <c r="I169" i="1"/>
  <c r="I112" i="1"/>
  <c r="I2" i="1"/>
  <c r="I172" i="1"/>
  <c r="I118" i="1"/>
  <c r="I27" i="1"/>
  <c r="I182" i="1"/>
  <c r="I29" i="1"/>
  <c r="I126" i="1"/>
  <c r="I127" i="1"/>
  <c r="I174" i="1"/>
  <c r="I116" i="1"/>
  <c r="I144" i="1"/>
  <c r="I168" i="1"/>
  <c r="I157" i="1"/>
  <c r="I38" i="1"/>
  <c r="I53" i="1"/>
  <c r="I200" i="1"/>
  <c r="I171" i="1"/>
  <c r="I110" i="1"/>
  <c r="I25" i="1"/>
  <c r="I82" i="1"/>
  <c r="I4" i="1"/>
  <c r="I153" i="1"/>
  <c r="I96" i="1"/>
  <c r="I7" i="1"/>
  <c r="I36" i="1"/>
  <c r="I64" i="1"/>
  <c r="I83" i="1"/>
  <c r="I198" i="1"/>
  <c r="I114" i="1"/>
  <c r="I78" i="1"/>
  <c r="I75" i="1"/>
  <c r="I111" i="1"/>
  <c r="I5" i="1"/>
  <c r="I84" i="1"/>
  <c r="I14" i="1"/>
  <c r="I47" i="1"/>
  <c r="I132" i="1"/>
  <c r="I189" i="1"/>
  <c r="I140" i="1"/>
  <c r="I138" i="1"/>
  <c r="I6" i="1"/>
  <c r="I8" i="1"/>
  <c r="I57" i="1"/>
  <c r="I166" i="1"/>
  <c r="I108" i="1"/>
  <c r="I176" i="1"/>
  <c r="I190" i="1"/>
  <c r="I104" i="1"/>
  <c r="I49" i="1"/>
  <c r="I119" i="1"/>
  <c r="I133" i="1"/>
  <c r="I77" i="1"/>
  <c r="I163" i="1"/>
  <c r="I73" i="1"/>
  <c r="I130" i="1"/>
  <c r="I76" i="1"/>
  <c r="I175" i="1"/>
  <c r="I120" i="1"/>
  <c r="I142" i="1"/>
  <c r="I109" i="1"/>
  <c r="I105" i="1"/>
  <c r="I52" i="1"/>
  <c r="I154" i="1"/>
  <c r="I13" i="1"/>
  <c r="I143" i="1"/>
  <c r="I89" i="1"/>
  <c r="I123" i="1"/>
  <c r="I148" i="1"/>
  <c r="I46" i="1"/>
  <c r="I122" i="1"/>
  <c r="I80" i="1"/>
  <c r="I50" i="1"/>
  <c r="I147" i="1"/>
  <c r="I65" i="1"/>
  <c r="I48" i="1"/>
  <c r="I55" i="1"/>
  <c r="I21" i="1"/>
  <c r="I51" i="1"/>
  <c r="I60" i="1"/>
  <c r="I101" i="1"/>
  <c r="I40" i="1"/>
  <c r="I10" i="1"/>
  <c r="I59" i="1"/>
  <c r="I41" i="1"/>
  <c r="I58" i="1"/>
  <c r="I30" i="1"/>
  <c r="I34" i="1"/>
  <c r="I45" i="1"/>
  <c r="I39" i="1"/>
  <c r="I19" i="1"/>
  <c r="I23" i="1"/>
  <c r="I79" i="1"/>
  <c r="I72" i="1"/>
  <c r="I81" i="1"/>
  <c r="I102" i="1"/>
  <c r="I95" i="1"/>
  <c r="I103" i="1"/>
  <c r="I113" i="1"/>
  <c r="I121" i="1"/>
  <c r="I124" i="1"/>
  <c r="I125" i="1"/>
  <c r="I129" i="1"/>
  <c r="I131" i="1"/>
  <c r="I139" i="1"/>
  <c r="I146" i="1"/>
  <c r="I145" i="1"/>
  <c r="I152" i="1"/>
  <c r="I155" i="1"/>
  <c r="I159" i="1"/>
  <c r="I162" i="1"/>
  <c r="I160" i="1"/>
  <c r="I161" i="1"/>
  <c r="I165" i="1"/>
  <c r="I164" i="1"/>
  <c r="I170" i="1"/>
  <c r="I167" i="1"/>
  <c r="I173" i="1"/>
  <c r="I178" i="1"/>
  <c r="I177" i="1"/>
  <c r="I180" i="1"/>
  <c r="I179" i="1"/>
  <c r="I181" i="1"/>
  <c r="I187" i="1"/>
  <c r="I186" i="1"/>
  <c r="I193" i="1"/>
  <c r="I201" i="1"/>
  <c r="I202" i="1"/>
  <c r="I203" i="1"/>
  <c r="I205" i="1"/>
  <c r="I204" i="1"/>
  <c r="I206" i="1"/>
  <c r="I208" i="1"/>
  <c r="I209" i="1"/>
  <c r="I207" i="1"/>
  <c r="I213" i="1"/>
  <c r="I212" i="1"/>
  <c r="I210" i="1"/>
  <c r="I217" i="1"/>
  <c r="I211" i="1"/>
  <c r="I218" i="1"/>
  <c r="I215" i="1"/>
  <c r="I214" i="1"/>
  <c r="I216" i="1"/>
  <c r="I219" i="1"/>
  <c r="I220" i="1"/>
  <c r="I225" i="1"/>
  <c r="I227" i="1"/>
  <c r="I223" i="1"/>
  <c r="I222" i="1"/>
  <c r="I224" i="1"/>
  <c r="I221" i="1"/>
  <c r="I226" i="1"/>
  <c r="I228" i="1"/>
  <c r="I232" i="1"/>
  <c r="I231" i="1"/>
  <c r="I229" i="1"/>
  <c r="I230" i="1"/>
  <c r="I233" i="1"/>
  <c r="I238" i="1"/>
  <c r="I236" i="1"/>
  <c r="I234" i="1"/>
  <c r="I242" i="1"/>
  <c r="I243" i="1"/>
  <c r="I245" i="1"/>
  <c r="I246" i="1"/>
  <c r="I241" i="1"/>
  <c r="I247" i="1"/>
  <c r="I248" i="1"/>
  <c r="I240" i="1"/>
  <c r="I244" i="1"/>
  <c r="I237" i="1"/>
  <c r="G59" i="1"/>
  <c r="G51" i="1"/>
  <c r="G55" i="1"/>
  <c r="G48" i="1"/>
  <c r="G28" i="1"/>
  <c r="G18" i="1"/>
  <c r="G49" i="1"/>
  <c r="G57" i="1"/>
  <c r="G41" i="1"/>
  <c r="G32" i="1"/>
  <c r="G3" i="1"/>
  <c r="G58" i="1"/>
  <c r="G30" i="1"/>
  <c r="G31" i="1"/>
  <c r="G13" i="1"/>
  <c r="G46" i="1"/>
  <c r="G8" i="1"/>
  <c r="G16" i="1"/>
  <c r="G52" i="1"/>
  <c r="G56" i="1"/>
  <c r="G12" i="1"/>
  <c r="G42" i="1"/>
  <c r="G53" i="1"/>
  <c r="G54" i="1"/>
  <c r="G20" i="1"/>
  <c r="G50" i="1"/>
  <c r="G36" i="1"/>
  <c r="G34" i="1"/>
  <c r="G2" i="1"/>
  <c r="G15" i="1"/>
  <c r="G9" i="1"/>
  <c r="G35" i="1"/>
  <c r="G27" i="1"/>
  <c r="G45" i="1"/>
  <c r="G39" i="1"/>
  <c r="G40" i="1"/>
  <c r="G43" i="1"/>
  <c r="G6" i="1"/>
  <c r="G24" i="1"/>
  <c r="G26" i="1"/>
  <c r="G47" i="1"/>
  <c r="G17" i="1"/>
  <c r="G37" i="1"/>
  <c r="G19" i="1"/>
  <c r="G4" i="1"/>
  <c r="G25" i="1"/>
  <c r="G7" i="1"/>
  <c r="G14" i="1"/>
  <c r="G10" i="1"/>
  <c r="G5" i="1"/>
  <c r="G44" i="1"/>
  <c r="G21" i="1"/>
  <c r="G38" i="1"/>
  <c r="G22" i="1"/>
  <c r="G23" i="1"/>
  <c r="G33" i="1"/>
  <c r="G11" i="1"/>
  <c r="G76" i="1"/>
  <c r="G69" i="1"/>
  <c r="G77" i="1"/>
  <c r="G75" i="1"/>
  <c r="G74" i="1"/>
  <c r="G64" i="1"/>
  <c r="G61" i="1"/>
  <c r="G63" i="1"/>
  <c r="G80" i="1"/>
  <c r="G79" i="1"/>
  <c r="G73" i="1"/>
  <c r="G66" i="1"/>
  <c r="G70" i="1"/>
  <c r="G78" i="1"/>
  <c r="G72" i="1"/>
  <c r="G65" i="1"/>
  <c r="G60" i="1"/>
  <c r="G62" i="1"/>
  <c r="G71" i="1"/>
  <c r="G67" i="1"/>
  <c r="G68" i="1"/>
  <c r="G81" i="1"/>
  <c r="G102" i="1"/>
  <c r="G82" i="1"/>
  <c r="G95" i="1"/>
  <c r="G103" i="1"/>
  <c r="G93" i="1"/>
  <c r="G99" i="1"/>
  <c r="G89" i="1"/>
  <c r="G104" i="1"/>
  <c r="G86" i="1"/>
  <c r="G91" i="1"/>
  <c r="G88" i="1"/>
  <c r="G101" i="1"/>
  <c r="G92" i="1"/>
  <c r="G105" i="1"/>
  <c r="G90" i="1"/>
  <c r="G96" i="1"/>
  <c r="G87" i="1"/>
  <c r="G85" i="1"/>
  <c r="G100" i="1"/>
  <c r="G83" i="1"/>
  <c r="G97" i="1"/>
  <c r="G98" i="1"/>
  <c r="G94" i="1"/>
  <c r="G84" i="1"/>
  <c r="G109" i="1"/>
  <c r="G111" i="1"/>
  <c r="G116" i="1"/>
  <c r="G112" i="1"/>
  <c r="G115" i="1"/>
  <c r="G114" i="1"/>
  <c r="G107" i="1"/>
  <c r="G113" i="1"/>
  <c r="G108" i="1"/>
  <c r="G106" i="1"/>
  <c r="G110" i="1"/>
  <c r="G120" i="1"/>
  <c r="G122" i="1"/>
  <c r="G121" i="1"/>
  <c r="G119" i="1"/>
  <c r="G123" i="1"/>
  <c r="G124" i="1"/>
  <c r="G117" i="1"/>
  <c r="G125" i="1"/>
  <c r="G118" i="1"/>
  <c r="G129" i="1"/>
  <c r="G131" i="1"/>
  <c r="G133" i="1"/>
  <c r="G132" i="1"/>
  <c r="G130" i="1"/>
  <c r="G127" i="1"/>
  <c r="G126" i="1"/>
  <c r="G128" i="1"/>
  <c r="G139" i="1"/>
  <c r="G137" i="1"/>
  <c r="G135" i="1"/>
  <c r="G134" i="1"/>
  <c r="G138" i="1"/>
  <c r="G136" i="1"/>
  <c r="G144" i="1"/>
  <c r="G140" i="1"/>
  <c r="G143" i="1"/>
  <c r="G142" i="1"/>
  <c r="G146" i="1"/>
  <c r="G141" i="1"/>
  <c r="G145" i="1"/>
  <c r="G147" i="1"/>
  <c r="G151" i="1"/>
  <c r="G150" i="1"/>
  <c r="G152" i="1"/>
  <c r="G154" i="1"/>
  <c r="G155" i="1"/>
  <c r="G153" i="1"/>
  <c r="G148" i="1"/>
  <c r="G149" i="1"/>
  <c r="G157" i="1"/>
  <c r="G158" i="1"/>
  <c r="G156" i="1"/>
  <c r="G159" i="1"/>
  <c r="G162" i="1"/>
  <c r="G160" i="1"/>
  <c r="G161" i="1"/>
  <c r="G165" i="1"/>
  <c r="G166" i="1"/>
  <c r="G164" i="1"/>
  <c r="G163" i="1"/>
  <c r="G171" i="1"/>
  <c r="G168" i="1"/>
  <c r="G170" i="1"/>
  <c r="G167" i="1"/>
  <c r="G169" i="1"/>
  <c r="G173" i="1"/>
  <c r="G172" i="1"/>
  <c r="G174" i="1"/>
  <c r="G176" i="1"/>
  <c r="G178" i="1"/>
  <c r="G177" i="1"/>
  <c r="G175" i="1"/>
  <c r="G180" i="1"/>
  <c r="G179" i="1"/>
  <c r="G181" i="1"/>
  <c r="G182" i="1"/>
  <c r="G183" i="1"/>
  <c r="G184" i="1"/>
  <c r="G185" i="1"/>
  <c r="G188" i="1"/>
  <c r="G187" i="1"/>
  <c r="G186" i="1"/>
  <c r="G190" i="1"/>
  <c r="G192" i="1"/>
  <c r="G191" i="1"/>
  <c r="G193" i="1"/>
  <c r="G189" i="1"/>
  <c r="G199" i="1"/>
  <c r="G194" i="1"/>
  <c r="G196" i="1"/>
  <c r="G198" i="1"/>
  <c r="G197" i="1"/>
  <c r="G195" i="1"/>
  <c r="G201" i="1"/>
  <c r="G200" i="1"/>
  <c r="G202" i="1"/>
  <c r="G203" i="1"/>
  <c r="G205" i="1"/>
  <c r="G204" i="1"/>
  <c r="G206" i="1"/>
  <c r="G208" i="1"/>
  <c r="G209" i="1"/>
  <c r="G207" i="1"/>
  <c r="G213" i="1"/>
  <c r="G212" i="1"/>
  <c r="G210" i="1"/>
  <c r="G217" i="1"/>
  <c r="G211" i="1"/>
  <c r="G218" i="1"/>
  <c r="G215" i="1"/>
  <c r="G214" i="1"/>
  <c r="G216" i="1"/>
  <c r="G219" i="1"/>
  <c r="G220" i="1"/>
  <c r="G225" i="1"/>
  <c r="G227" i="1"/>
  <c r="G223" i="1"/>
  <c r="G222" i="1"/>
  <c r="G224" i="1"/>
  <c r="G221" i="1"/>
  <c r="G226" i="1"/>
  <c r="G228" i="1"/>
  <c r="G232" i="1"/>
  <c r="G231" i="1"/>
  <c r="G229" i="1"/>
  <c r="G230" i="1"/>
  <c r="G233" i="1"/>
  <c r="G238" i="1"/>
  <c r="G237" i="1"/>
  <c r="G235" i="1"/>
  <c r="G236" i="1"/>
  <c r="G234" i="1"/>
  <c r="G239" i="1"/>
  <c r="G242" i="1"/>
  <c r="G243" i="1"/>
  <c r="G245" i="1"/>
  <c r="G246" i="1"/>
  <c r="G241" i="1"/>
  <c r="G247" i="1"/>
  <c r="G248" i="1"/>
  <c r="G240" i="1"/>
  <c r="G244" i="1"/>
  <c r="G29" i="1"/>
  <c r="Z3" i="1"/>
  <c r="AA3" i="1" s="1"/>
  <c r="Z54" i="1"/>
  <c r="AA54" i="1" s="1"/>
  <c r="Z62" i="1"/>
  <c r="AA62" i="1" s="1"/>
  <c r="Z88" i="1"/>
  <c r="AA88" i="1" s="1"/>
  <c r="Z67" i="1"/>
  <c r="AA67" i="1" s="1"/>
  <c r="Z61" i="1"/>
  <c r="AA61" i="1" s="1"/>
  <c r="Z70" i="1"/>
  <c r="AA70" i="1" s="1"/>
  <c r="Z35" i="1"/>
  <c r="AA35" i="1" s="1"/>
  <c r="Z111" i="1"/>
  <c r="AA111" i="1" s="1"/>
  <c r="Z26" i="1"/>
  <c r="AA26" i="1" s="1"/>
  <c r="Z27" i="1"/>
  <c r="AA27" i="1" s="1"/>
  <c r="Z128" i="1"/>
  <c r="AA128" i="1" s="1"/>
  <c r="Z74" i="1"/>
  <c r="AA74" i="1" s="1"/>
  <c r="Z32" i="1"/>
  <c r="AA32" i="1" s="1"/>
  <c r="Z149" i="1"/>
  <c r="AA149" i="1" s="1"/>
  <c r="Z24" i="1"/>
  <c r="AA24" i="1" s="1"/>
  <c r="Z64" i="1"/>
  <c r="AA64" i="1" s="1"/>
  <c r="Z82" i="1"/>
  <c r="AA82" i="1" s="1"/>
  <c r="Z141" i="1"/>
  <c r="AA141" i="1" s="1"/>
  <c r="Z150" i="1"/>
  <c r="AA150" i="1" s="1"/>
  <c r="Z83" i="1"/>
  <c r="AA83" i="1" s="1"/>
  <c r="Z190" i="1"/>
  <c r="AA190" i="1" s="1"/>
  <c r="Z56" i="1"/>
  <c r="AA56" i="1" s="1"/>
  <c r="Z132" i="1"/>
  <c r="AA132" i="1" s="1"/>
  <c r="Z147" i="1"/>
  <c r="AA147" i="1" s="1"/>
  <c r="Z157" i="1"/>
  <c r="AA157" i="1" s="1"/>
  <c r="Z109" i="1"/>
  <c r="AA109" i="1" s="1"/>
  <c r="Z9" i="1"/>
  <c r="AA9" i="1" s="1"/>
  <c r="Z12" i="1"/>
  <c r="AA12" i="1" s="1"/>
  <c r="Z63" i="1"/>
  <c r="AA63" i="1" s="1"/>
  <c r="Z76" i="1"/>
  <c r="AA76" i="1" s="1"/>
  <c r="Z127" i="1"/>
  <c r="AA127" i="1" s="1"/>
  <c r="Z140" i="1"/>
  <c r="AA140" i="1" s="1"/>
  <c r="Z188" i="1"/>
  <c r="AA188" i="1" s="1"/>
  <c r="Z200" i="1"/>
  <c r="AA200" i="1" s="1"/>
  <c r="Z198" i="1"/>
  <c r="AA198" i="1" s="1"/>
  <c r="Z90" i="1"/>
  <c r="AA90" i="1" s="1"/>
  <c r="Z143" i="1"/>
  <c r="AA143" i="1" s="1"/>
  <c r="Z99" i="1"/>
  <c r="AA99" i="1" s="1"/>
  <c r="Z89" i="1"/>
  <c r="AA89" i="1" s="1"/>
  <c r="Z41" i="1"/>
  <c r="AA41" i="1" s="1"/>
  <c r="Z85" i="1"/>
  <c r="AA85" i="1" s="1"/>
  <c r="Z106" i="1"/>
  <c r="AA106" i="1" s="1"/>
  <c r="Z100" i="1"/>
  <c r="AA100" i="1" s="1"/>
  <c r="Z66" i="1"/>
  <c r="AA66" i="1" s="1"/>
  <c r="Z14" i="1"/>
  <c r="AA14" i="1" s="1"/>
  <c r="Z134" i="1"/>
  <c r="AA134" i="1" s="1"/>
  <c r="Z151" i="1"/>
  <c r="AA151" i="1" s="1"/>
  <c r="Z183" i="1"/>
  <c r="AA183" i="1" s="1"/>
  <c r="Z129" i="1"/>
  <c r="AA129" i="1" s="1"/>
  <c r="Z16" i="1"/>
  <c r="AA16" i="1" s="1"/>
  <c r="Z91" i="1"/>
  <c r="AA91" i="1" s="1"/>
  <c r="Z107" i="1"/>
  <c r="AA107" i="1" s="1"/>
  <c r="Z52" i="1"/>
  <c r="AA52" i="1" s="1"/>
  <c r="Z4" i="1"/>
  <c r="AA4" i="1" s="1"/>
  <c r="Z122" i="1"/>
  <c r="AA122" i="1" s="1"/>
  <c r="Z166" i="1"/>
  <c r="AA166" i="1" s="1"/>
  <c r="Z115" i="1"/>
  <c r="AA115" i="1" s="1"/>
  <c r="Z117" i="1"/>
  <c r="AA117" i="1" s="1"/>
  <c r="Z87" i="1"/>
  <c r="AA87" i="1" s="1"/>
  <c r="Z53" i="1"/>
  <c r="AA53" i="1" s="1"/>
  <c r="Z44" i="1"/>
  <c r="AA44" i="1" s="1"/>
  <c r="Z148" i="1"/>
  <c r="AA148" i="1" s="1"/>
  <c r="Z137" i="1"/>
  <c r="AA137" i="1" s="1"/>
  <c r="Z197" i="1"/>
  <c r="AA197" i="1" s="1"/>
  <c r="Z60" i="1"/>
  <c r="AA60" i="1" s="1"/>
  <c r="Z199" i="1"/>
  <c r="AA199" i="1" s="1"/>
  <c r="Z244" i="1"/>
  <c r="AA244" i="1" s="1"/>
  <c r="Z156" i="1"/>
  <c r="AA156" i="1" s="1"/>
  <c r="Z214" i="1"/>
  <c r="AA214" i="1" s="1"/>
  <c r="Z93" i="1"/>
  <c r="AA93" i="1" s="1"/>
  <c r="Z220" i="1"/>
  <c r="AA220" i="1" s="1"/>
  <c r="Z181" i="1"/>
  <c r="AA181" i="1" s="1"/>
  <c r="Z235" i="1"/>
  <c r="AA235" i="1" s="1"/>
  <c r="Z18" i="1"/>
  <c r="AA18" i="1" s="1"/>
  <c r="Z236" i="1"/>
  <c r="AA236" i="1" s="1"/>
  <c r="Z49" i="1"/>
  <c r="AA49" i="1" s="1"/>
  <c r="Z154" i="1"/>
  <c r="AA154" i="1" s="1"/>
  <c r="Z120" i="1"/>
  <c r="AA120" i="1" s="1"/>
  <c r="Z176" i="1"/>
  <c r="AA176" i="1" s="1"/>
  <c r="Z102" i="1"/>
  <c r="AA102" i="1" s="1"/>
  <c r="Z57" i="1"/>
  <c r="AA57" i="1" s="1"/>
  <c r="Z182" i="1"/>
  <c r="AA182" i="1" s="1"/>
  <c r="Z75" i="1"/>
  <c r="AA75" i="1" s="1"/>
  <c r="Z8" i="1"/>
  <c r="AA8" i="1" s="1"/>
  <c r="Z168" i="1"/>
  <c r="AA168" i="1" s="1"/>
  <c r="Z6" i="1"/>
  <c r="AA6" i="1" s="1"/>
  <c r="Z2" i="1"/>
  <c r="AA2" i="1" s="1"/>
  <c r="Z101" i="1"/>
  <c r="AA101" i="1" s="1"/>
  <c r="Z15" i="1"/>
  <c r="AA15" i="1" s="1"/>
  <c r="Z77" i="1"/>
  <c r="AA77" i="1" s="1"/>
  <c r="Z162" i="1"/>
  <c r="AA162" i="1" s="1"/>
  <c r="Z59" i="1"/>
  <c r="AA59" i="1" s="1"/>
  <c r="Z92" i="1"/>
  <c r="AA92" i="1" s="1"/>
  <c r="Z194" i="1"/>
  <c r="AA194" i="1" s="1"/>
  <c r="Z42" i="1"/>
  <c r="AA42" i="1" s="1"/>
  <c r="Z144" i="1"/>
  <c r="AA144" i="1" s="1"/>
  <c r="Z69" i="1"/>
  <c r="AA69" i="1" s="1"/>
  <c r="Z196" i="1"/>
  <c r="AA196" i="1" s="1"/>
  <c r="Z48" i="1"/>
  <c r="AA48" i="1" s="1"/>
  <c r="Z239" i="1"/>
  <c r="AA239" i="1" s="1"/>
  <c r="Z206" i="1"/>
  <c r="AA206" i="1" s="1"/>
  <c r="Z96" i="1"/>
  <c r="AA96" i="1" s="1"/>
  <c r="Z242" i="1"/>
  <c r="AA242" i="1" s="1"/>
  <c r="Z208" i="1"/>
  <c r="AA208" i="1" s="1"/>
  <c r="Z243" i="1"/>
  <c r="AA243" i="1" s="1"/>
  <c r="Z228" i="1"/>
  <c r="AA228" i="1" s="1"/>
  <c r="Z213" i="1"/>
  <c r="AA213" i="1" s="1"/>
  <c r="Z212" i="1"/>
  <c r="AA212" i="1" s="1"/>
  <c r="Z232" i="1"/>
  <c r="AA232" i="1" s="1"/>
  <c r="Z225" i="1"/>
  <c r="AA225" i="1" s="1"/>
  <c r="Z245" i="1"/>
  <c r="AA245" i="1" s="1"/>
  <c r="Z246" i="1"/>
  <c r="AA246" i="1" s="1"/>
  <c r="Z227" i="1"/>
  <c r="AA227" i="1" s="1"/>
  <c r="Z238" i="1"/>
  <c r="AA238" i="1" s="1"/>
  <c r="Z241" i="1"/>
  <c r="AA241" i="1" s="1"/>
  <c r="Z165" i="1"/>
  <c r="AA165" i="1" s="1"/>
  <c r="Z247" i="1"/>
  <c r="AA247" i="1" s="1"/>
  <c r="Z223" i="1"/>
  <c r="AA223" i="1" s="1"/>
  <c r="Z237" i="1"/>
  <c r="AA237" i="1" s="1"/>
  <c r="Z86" i="1"/>
  <c r="AA86" i="1" s="1"/>
  <c r="Z231" i="1"/>
  <c r="AA231" i="1" s="1"/>
  <c r="Z229" i="1"/>
  <c r="AA229" i="1" s="1"/>
  <c r="Z210" i="1"/>
  <c r="AA210" i="1" s="1"/>
  <c r="Z217" i="1"/>
  <c r="AA217" i="1" s="1"/>
  <c r="Z248" i="1"/>
  <c r="AA248" i="1" s="1"/>
  <c r="Z219" i="1"/>
  <c r="AA219" i="1" s="1"/>
  <c r="Z201" i="1"/>
  <c r="AA201" i="1" s="1"/>
  <c r="Z222" i="1"/>
  <c r="AA222" i="1" s="1"/>
  <c r="Z224" i="1"/>
  <c r="AA224" i="1" s="1"/>
  <c r="Z209" i="1"/>
  <c r="AA209" i="1" s="1"/>
  <c r="Z202" i="1"/>
  <c r="AA202" i="1" s="1"/>
  <c r="Z211" i="1"/>
  <c r="AA211" i="1" s="1"/>
  <c r="Z240" i="1"/>
  <c r="AA240" i="1" s="1"/>
  <c r="Z218" i="1"/>
  <c r="AA218" i="1" s="1"/>
  <c r="Z221" i="1"/>
  <c r="AA221" i="1" s="1"/>
  <c r="Z226" i="1"/>
  <c r="AA226" i="1" s="1"/>
  <c r="Z215" i="1"/>
  <c r="AA215" i="1" s="1"/>
  <c r="Z193" i="1"/>
  <c r="AA193" i="1" s="1"/>
  <c r="Z178" i="1"/>
  <c r="AA178" i="1" s="1"/>
  <c r="Z46" i="1"/>
  <c r="AA46" i="1" s="1"/>
  <c r="Z189" i="1"/>
  <c r="AA189" i="1" s="1"/>
  <c r="Z177" i="1"/>
  <c r="AA177" i="1" s="1"/>
  <c r="Z173" i="1"/>
  <c r="AA173" i="1" s="1"/>
  <c r="Z184" i="1"/>
  <c r="AA184" i="1" s="1"/>
  <c r="Z28" i="1"/>
  <c r="AA28" i="1" s="1"/>
  <c r="Z5" i="1"/>
  <c r="AA5" i="1" s="1"/>
  <c r="Z203" i="1"/>
  <c r="AA203" i="1" s="1"/>
  <c r="Z112" i="1"/>
  <c r="AA112" i="1" s="1"/>
  <c r="Z133" i="1"/>
  <c r="AA133" i="1" s="1"/>
  <c r="Z142" i="1"/>
  <c r="AA142" i="1" s="1"/>
  <c r="Z164" i="1"/>
  <c r="AA164" i="1" s="1"/>
  <c r="Z31" i="1"/>
  <c r="AA31" i="1" s="1"/>
  <c r="Z192" i="1"/>
  <c r="AA192" i="1" s="1"/>
  <c r="Z19" i="1"/>
  <c r="AA19" i="1" s="1"/>
  <c r="Z51" i="1"/>
  <c r="AA51" i="1" s="1"/>
  <c r="Z171" i="1"/>
  <c r="AA171" i="1" s="1"/>
  <c r="Z216" i="1"/>
  <c r="AA216" i="1" s="1"/>
  <c r="Z172" i="1"/>
  <c r="AA172" i="1" s="1"/>
  <c r="Z230" i="1"/>
  <c r="AA230" i="1" s="1"/>
  <c r="Z204" i="1"/>
  <c r="AA204" i="1" s="1"/>
  <c r="Z130" i="1"/>
  <c r="AA130" i="1" s="1"/>
  <c r="Z21" i="1"/>
  <c r="AA21" i="1" s="1"/>
  <c r="Z234" i="1"/>
  <c r="AA234" i="1" s="1"/>
  <c r="Z38" i="1"/>
  <c r="AA38" i="1" s="1"/>
  <c r="Z158" i="1"/>
  <c r="AA158" i="1" s="1"/>
  <c r="Z174" i="1"/>
  <c r="AA174" i="1" s="1"/>
  <c r="Z13" i="1"/>
  <c r="AA13" i="1" s="1"/>
  <c r="Z55" i="1"/>
  <c r="AA55" i="1" s="1"/>
  <c r="Z152" i="1"/>
  <c r="AA152" i="1" s="1"/>
  <c r="Z81" i="1"/>
  <c r="AA81" i="1" s="1"/>
  <c r="Z139" i="1"/>
  <c r="AA139" i="1" s="1"/>
  <c r="Z123" i="1"/>
  <c r="AA123" i="1" s="1"/>
  <c r="Z116" i="1"/>
  <c r="AA116" i="1" s="1"/>
  <c r="Z103" i="1"/>
  <c r="AA103" i="1" s="1"/>
  <c r="Z34" i="1"/>
  <c r="AA34" i="1" s="1"/>
  <c r="Z163" i="1"/>
  <c r="AA163" i="1" s="1"/>
  <c r="Z124" i="1"/>
  <c r="AA124" i="1" s="1"/>
  <c r="Z79" i="1"/>
  <c r="AA79" i="1" s="1"/>
  <c r="Z191" i="1"/>
  <c r="AA191" i="1" s="1"/>
  <c r="Z207" i="1"/>
  <c r="AA207" i="1" s="1"/>
  <c r="Z233" i="1"/>
  <c r="AA233" i="1" s="1"/>
  <c r="Z205" i="1"/>
  <c r="AA205" i="1" s="1"/>
  <c r="Z72" i="1"/>
  <c r="AA72" i="1" s="1"/>
  <c r="Z110" i="1"/>
  <c r="AA110" i="1" s="1"/>
  <c r="Z30" i="1"/>
  <c r="AA30" i="1" s="1"/>
  <c r="Z73" i="1"/>
  <c r="AA73" i="1" s="1"/>
  <c r="Z131" i="1"/>
  <c r="AA131" i="1" s="1"/>
  <c r="Z95" i="1"/>
  <c r="AA95" i="1" s="1"/>
  <c r="Z104" i="1"/>
  <c r="AA104" i="1" s="1"/>
  <c r="Z121" i="1"/>
  <c r="AA121" i="1" s="1"/>
  <c r="Z114" i="1"/>
  <c r="AA114" i="1" s="1"/>
  <c r="Z170" i="1"/>
  <c r="AA170" i="1" s="1"/>
  <c r="Z187" i="1"/>
  <c r="AA187" i="1" s="1"/>
  <c r="Z58" i="1"/>
  <c r="AA58" i="1" s="1"/>
  <c r="Z155" i="1"/>
  <c r="AA155" i="1" s="1"/>
  <c r="Z159" i="1"/>
  <c r="AA159" i="1" s="1"/>
  <c r="Z186" i="1"/>
  <c r="AA186" i="1" s="1"/>
  <c r="Z105" i="1"/>
  <c r="AA105" i="1" s="1"/>
  <c r="Z160" i="1"/>
  <c r="AA160" i="1" s="1"/>
  <c r="Z126" i="1"/>
  <c r="AA126" i="1" s="1"/>
  <c r="Z119" i="1"/>
  <c r="AA119" i="1" s="1"/>
  <c r="Z40" i="1"/>
  <c r="AA40" i="1" s="1"/>
  <c r="Z43" i="1"/>
  <c r="AA43" i="1" s="1"/>
  <c r="Z65" i="1"/>
  <c r="AA65" i="1" s="1"/>
  <c r="Z36" i="1"/>
  <c r="AA36" i="1" s="1"/>
  <c r="Z78" i="1"/>
  <c r="AA78" i="1" s="1"/>
  <c r="Z175" i="1"/>
  <c r="AA175" i="1" s="1"/>
  <c r="Z180" i="1"/>
  <c r="AA180" i="1" s="1"/>
  <c r="Z25" i="1"/>
  <c r="AA25" i="1" s="1"/>
  <c r="Z80" i="1"/>
  <c r="AA80" i="1" s="1"/>
  <c r="Z20" i="1"/>
  <c r="AA20" i="1" s="1"/>
  <c r="Z195" i="1"/>
  <c r="AA195" i="1" s="1"/>
  <c r="Z39" i="1"/>
  <c r="AA39" i="1" s="1"/>
  <c r="Z37" i="1"/>
  <c r="AA37" i="1" s="1"/>
  <c r="Z50" i="1"/>
  <c r="AA50" i="1" s="1"/>
  <c r="Z146" i="1"/>
  <c r="AA146" i="1" s="1"/>
  <c r="Z7" i="1"/>
  <c r="AA7" i="1" s="1"/>
  <c r="Z97" i="1"/>
  <c r="AA97" i="1" s="1"/>
  <c r="Z169" i="1"/>
  <c r="AA169" i="1" s="1"/>
  <c r="Z45" i="1"/>
  <c r="AA45" i="1" s="1"/>
  <c r="Z185" i="1"/>
  <c r="AA185" i="1" s="1"/>
  <c r="Z167" i="1"/>
  <c r="AA167" i="1" s="1"/>
  <c r="Z113" i="1"/>
  <c r="AA113" i="1" s="1"/>
  <c r="Z10" i="1"/>
  <c r="AA10" i="1" s="1"/>
  <c r="Z145" i="1"/>
  <c r="AA145" i="1" s="1"/>
  <c r="Z11" i="1"/>
  <c r="AA11" i="1" s="1"/>
  <c r="Z71" i="1"/>
  <c r="AA71" i="1" s="1"/>
  <c r="Z161" i="1"/>
  <c r="AA161" i="1" s="1"/>
  <c r="Z179" i="1"/>
  <c r="AA179" i="1" s="1"/>
  <c r="Z98" i="1"/>
  <c r="AA98" i="1" s="1"/>
  <c r="Z17" i="1"/>
  <c r="AA17" i="1" s="1"/>
  <c r="Z153" i="1"/>
  <c r="AA153" i="1" s="1"/>
  <c r="Z84" i="1"/>
  <c r="AA84" i="1" s="1"/>
  <c r="Z68" i="1"/>
  <c r="AA68" i="1" s="1"/>
  <c r="Z47" i="1"/>
  <c r="AA47" i="1" s="1"/>
  <c r="Z136" i="1"/>
  <c r="AA136" i="1" s="1"/>
  <c r="Z138" i="1"/>
  <c r="AA138" i="1" s="1"/>
  <c r="Z135" i="1"/>
  <c r="AA135" i="1" s="1"/>
  <c r="Z94" i="1"/>
  <c r="AA94" i="1" s="1"/>
  <c r="Z125" i="1"/>
  <c r="AA125" i="1" s="1"/>
  <c r="Z108" i="1"/>
  <c r="AA108" i="1" s="1"/>
  <c r="Z23" i="1"/>
  <c r="AA23" i="1" s="1"/>
  <c r="Z118" i="1"/>
  <c r="AA118" i="1" s="1"/>
  <c r="Z33" i="1"/>
  <c r="AA33" i="1" s="1"/>
  <c r="Z22" i="1"/>
  <c r="AA22" i="1" s="1"/>
  <c r="Z29" i="1"/>
  <c r="AA29" i="1" s="1"/>
  <c r="AH24" i="1"/>
  <c r="AH4" i="1"/>
  <c r="AH60" i="1"/>
  <c r="AH62" i="1"/>
  <c r="AH33" i="1"/>
  <c r="AH29" i="1"/>
  <c r="AH26" i="1"/>
  <c r="AH70" i="1"/>
  <c r="AH94" i="1"/>
  <c r="AH12" i="1"/>
  <c r="AH127" i="1"/>
  <c r="AH27" i="1"/>
  <c r="AH37" i="1"/>
  <c r="AH44" i="1"/>
  <c r="AH86" i="1"/>
  <c r="AH65" i="1"/>
  <c r="AH98" i="1"/>
  <c r="AH106" i="1"/>
  <c r="AH3" i="1"/>
  <c r="AH17" i="1"/>
  <c r="AH118" i="1"/>
  <c r="AH83" i="1"/>
  <c r="AH84" i="1"/>
  <c r="AH104" i="1"/>
  <c r="AH11" i="1"/>
  <c r="AH19" i="1"/>
  <c r="AH18" i="1"/>
  <c r="AH82" i="1"/>
  <c r="AH9" i="1"/>
  <c r="AH99" i="1"/>
  <c r="AH14" i="1"/>
  <c r="AH88" i="1"/>
  <c r="AH64" i="1"/>
  <c r="AH100" i="1"/>
  <c r="AH10" i="1"/>
  <c r="AH97" i="1"/>
  <c r="AH103" i="1"/>
  <c r="AH7" i="1"/>
  <c r="AH6" i="1"/>
  <c r="AH110" i="1"/>
  <c r="AH51" i="1"/>
  <c r="AH96" i="1"/>
  <c r="AH54" i="1"/>
  <c r="AH85" i="1"/>
  <c r="AH105" i="1"/>
  <c r="AH53" i="1"/>
  <c r="AH36" i="1"/>
  <c r="AH67" i="1"/>
  <c r="AH66" i="1"/>
  <c r="AH71" i="1"/>
  <c r="AH5" i="1"/>
  <c r="AH117" i="1"/>
  <c r="AH91" i="1"/>
  <c r="AH61" i="1"/>
  <c r="AH31" i="1"/>
  <c r="AH63" i="1"/>
  <c r="AH40" i="1"/>
  <c r="AH90" i="1"/>
  <c r="AH35" i="1"/>
  <c r="AH43" i="1"/>
  <c r="AH107" i="1"/>
  <c r="AH87" i="1"/>
  <c r="AH92" i="1"/>
  <c r="AH8" i="1"/>
  <c r="AH2" i="1"/>
  <c r="AH101" i="1"/>
  <c r="AH47" i="1"/>
  <c r="AH25" i="1"/>
  <c r="AH16" i="1"/>
  <c r="AH32" i="1"/>
  <c r="AH21" i="1"/>
  <c r="AH23" i="1"/>
  <c r="AH15" i="1"/>
  <c r="AH75" i="1"/>
  <c r="AH168" i="1"/>
  <c r="AH113" i="1"/>
  <c r="AH89" i="1"/>
  <c r="AH126" i="1"/>
  <c r="AH149" i="1"/>
  <c r="AH150" i="1"/>
  <c r="AH38" i="1"/>
  <c r="AH111" i="1"/>
  <c r="AH74" i="1"/>
  <c r="AH68" i="1"/>
  <c r="AH119" i="1"/>
  <c r="AH167" i="1"/>
  <c r="AH136" i="1"/>
  <c r="AH95" i="1"/>
  <c r="AH141" i="1"/>
  <c r="AH142" i="1"/>
  <c r="AH147" i="1"/>
  <c r="AH108" i="1"/>
  <c r="AH137" i="1"/>
  <c r="AH146" i="1"/>
  <c r="AH78" i="1"/>
  <c r="AH49" i="1"/>
  <c r="AH122" i="1"/>
  <c r="AH46" i="1"/>
  <c r="AH76" i="1"/>
  <c r="AH34" i="1"/>
  <c r="AH39" i="1"/>
  <c r="AH115" i="1"/>
  <c r="AH143" i="1"/>
  <c r="AH130" i="1"/>
  <c r="AH140" i="1"/>
  <c r="AH42" i="1"/>
  <c r="AH148" i="1"/>
  <c r="AH22" i="1"/>
  <c r="AH112" i="1"/>
  <c r="AH109" i="1"/>
  <c r="AH79" i="1"/>
  <c r="AH72" i="1"/>
  <c r="AH50" i="1"/>
  <c r="AH77" i="1"/>
  <c r="AH69" i="1"/>
  <c r="AH56" i="1"/>
  <c r="AH20" i="1"/>
  <c r="AH52" i="1"/>
  <c r="AH57" i="1"/>
  <c r="AH175" i="1"/>
  <c r="AH30" i="1"/>
  <c r="AH125" i="1"/>
  <c r="AH128" i="1"/>
  <c r="AH55" i="1"/>
  <c r="AH45" i="1"/>
  <c r="AH179" i="1"/>
  <c r="AH169" i="1"/>
  <c r="AH176" i="1"/>
  <c r="AH134" i="1"/>
  <c r="AH28" i="1"/>
  <c r="AH189" i="1"/>
  <c r="AH93" i="1"/>
  <c r="AH197" i="1"/>
  <c r="AH163" i="1"/>
  <c r="AH59" i="1"/>
  <c r="AH138" i="1"/>
  <c r="AH195" i="1"/>
  <c r="AH41" i="1"/>
  <c r="AH48" i="1"/>
  <c r="AH116" i="1"/>
  <c r="AH132" i="1"/>
  <c r="AH156" i="1"/>
  <c r="AH73" i="1"/>
  <c r="AH121" i="1"/>
  <c r="AH153" i="1"/>
  <c r="AH102" i="1"/>
  <c r="AH124" i="1"/>
  <c r="AH152" i="1"/>
  <c r="AH135" i="1"/>
  <c r="AH183" i="1"/>
  <c r="AH123" i="1"/>
  <c r="AH158" i="1"/>
  <c r="AH139" i="1"/>
  <c r="AH198" i="1"/>
  <c r="AH200" i="1"/>
  <c r="AH120" i="1"/>
  <c r="AH157" i="1"/>
  <c r="AH133" i="1"/>
  <c r="AH165" i="1"/>
  <c r="AH196" i="1"/>
  <c r="AH145" i="1"/>
  <c r="AH160" i="1"/>
  <c r="AH194" i="1"/>
  <c r="AH190" i="1"/>
  <c r="AH80" i="1"/>
  <c r="AH185" i="1"/>
  <c r="AH191" i="1"/>
  <c r="AH159" i="1"/>
  <c r="AH131" i="1"/>
  <c r="AH154" i="1"/>
  <c r="AH171" i="1"/>
  <c r="AH81" i="1"/>
  <c r="AH188" i="1"/>
  <c r="AH172" i="1"/>
  <c r="AH164" i="1"/>
  <c r="AH204" i="1"/>
  <c r="AH58" i="1"/>
  <c r="AH207" i="1"/>
  <c r="AH161" i="1"/>
  <c r="AH129" i="1"/>
  <c r="AH166" i="1"/>
  <c r="AH162" i="1"/>
  <c r="AH177" i="1"/>
  <c r="AH170" i="1"/>
  <c r="AH114" i="1"/>
  <c r="AH174" i="1"/>
  <c r="AH186" i="1"/>
  <c r="AH182" i="1"/>
  <c r="AH180" i="1"/>
  <c r="AH187" i="1"/>
  <c r="AH151" i="1"/>
  <c r="AH144" i="1"/>
  <c r="AH192" i="1"/>
  <c r="AH184" i="1"/>
  <c r="AH230" i="1"/>
  <c r="AH181" i="1"/>
  <c r="AH215" i="1"/>
  <c r="AH178" i="1"/>
  <c r="AH193" i="1"/>
  <c r="AH202" i="1"/>
  <c r="AH208" i="1"/>
  <c r="AH211" i="1"/>
  <c r="AH216" i="1"/>
  <c r="AH155" i="1"/>
  <c r="AH203" i="1"/>
  <c r="AH234" i="1"/>
  <c r="AH235" i="1"/>
  <c r="AH214" i="1"/>
  <c r="AH218" i="1"/>
  <c r="AH236" i="1"/>
  <c r="AH205" i="1"/>
  <c r="AH210" i="1"/>
  <c r="AH221" i="1"/>
  <c r="AH237" i="1"/>
  <c r="AH173" i="1"/>
  <c r="AH233" i="1"/>
  <c r="AH232" i="1"/>
  <c r="AH223" i="1"/>
  <c r="AH201" i="1"/>
  <c r="AH225" i="1"/>
  <c r="AH199" i="1"/>
  <c r="AH222" i="1"/>
  <c r="AH206" i="1"/>
  <c r="AH240" i="1"/>
  <c r="AH213" i="1"/>
  <c r="AH224" i="1"/>
  <c r="AH242" i="1"/>
  <c r="AH241" i="1"/>
  <c r="AH229" i="1"/>
  <c r="AH212" i="1"/>
  <c r="AH220" i="1"/>
  <c r="AH228" i="1"/>
  <c r="AH243" i="1"/>
  <c r="AH231" i="1"/>
  <c r="AH209" i="1"/>
  <c r="AH217" i="1"/>
  <c r="AH219" i="1"/>
  <c r="AH247" i="1"/>
  <c r="AH238" i="1"/>
  <c r="AH239" i="1"/>
  <c r="AH226" i="1"/>
  <c r="AH227" i="1"/>
  <c r="AH248" i="1"/>
  <c r="AH244" i="1"/>
  <c r="AH246" i="1"/>
  <c r="AH245" i="1"/>
  <c r="AH13" i="1"/>
</calcChain>
</file>

<file path=xl/sharedStrings.xml><?xml version="1.0" encoding="utf-8"?>
<sst xmlns="http://schemas.openxmlformats.org/spreadsheetml/2006/main" count="1044" uniqueCount="509">
  <si>
    <t>Player</t>
  </si>
  <si>
    <t>Team</t>
  </si>
  <si>
    <t>Position</t>
  </si>
  <si>
    <t>Games played</t>
  </si>
  <si>
    <t>Time on ice</t>
  </si>
  <si>
    <t>Goals</t>
  </si>
  <si>
    <t>Assists</t>
  </si>
  <si>
    <t>Points</t>
  </si>
  <si>
    <t>Scoring chances</t>
  </si>
  <si>
    <t>Shots</t>
  </si>
  <si>
    <t>Shots on goal</t>
  </si>
  <si>
    <t>xG per shot</t>
  </si>
  <si>
    <t>xG (Expected goals)</t>
  </si>
  <si>
    <t>Faceoffs</t>
  </si>
  <si>
    <t>Faceoffs won</t>
  </si>
  <si>
    <t>Faceoffs lost</t>
  </si>
  <si>
    <t>Faceoffs won, %</t>
  </si>
  <si>
    <t>Plus</t>
  </si>
  <si>
    <t>Minus</t>
  </si>
  <si>
    <t>Penalties</t>
  </si>
  <si>
    <t>Penalties drawn</t>
  </si>
  <si>
    <t>Takeaways</t>
  </si>
  <si>
    <t>Puck losses</t>
  </si>
  <si>
    <t>Team xG when on ice</t>
  </si>
  <si>
    <t>Opponent's xG when on ice</t>
  </si>
  <si>
    <t>Passes to the slot</t>
  </si>
  <si>
    <t>Puck control time</t>
  </si>
  <si>
    <t>Puck battles</t>
  </si>
  <si>
    <t>Puck battles won</t>
  </si>
  <si>
    <t>Akane Shiga</t>
  </si>
  <si>
    <t>Lulea/MSSK</t>
  </si>
  <si>
    <t>F</t>
  </si>
  <si>
    <t>09:55</t>
  </si>
  <si>
    <t>Samantha Cogan</t>
  </si>
  <si>
    <t>SDE HF</t>
  </si>
  <si>
    <t>10:21</t>
  </si>
  <si>
    <t>Gabrielle David</t>
  </si>
  <si>
    <t>09:58</t>
  </si>
  <si>
    <t>Erica Rieder</t>
  </si>
  <si>
    <t>D</t>
  </si>
  <si>
    <t>11:48</t>
  </si>
  <si>
    <t>Wilma Sjolund</t>
  </si>
  <si>
    <t>04:38</t>
  </si>
  <si>
    <t>Petra Nieminen</t>
  </si>
  <si>
    <t>11:26</t>
  </si>
  <si>
    <t>Elisa Holopainen</t>
  </si>
  <si>
    <t>Frolunda</t>
  </si>
  <si>
    <t>13:29</t>
  </si>
  <si>
    <t>Mathea Fischer</t>
  </si>
  <si>
    <t>06:55</t>
  </si>
  <si>
    <t>Dominika Laskova</t>
  </si>
  <si>
    <t>09:04</t>
  </si>
  <si>
    <t>Viivi Vainikka</t>
  </si>
  <si>
    <t>Brynas</t>
  </si>
  <si>
    <t>11:22</t>
  </si>
  <si>
    <t>Jenni Hiirikoski</t>
  </si>
  <si>
    <t>11:36</t>
  </si>
  <si>
    <t>Noora Tulus</t>
  </si>
  <si>
    <t>10:18</t>
  </si>
  <si>
    <t>Brette Pettet</t>
  </si>
  <si>
    <t>Djurgarden</t>
  </si>
  <si>
    <t>09:59</t>
  </si>
  <si>
    <t>Mina Waxin</t>
  </si>
  <si>
    <t>09:08</t>
  </si>
  <si>
    <t>Emilia Vesa</t>
  </si>
  <si>
    <t>08:09</t>
  </si>
  <si>
    <t>Sara Cajanova</t>
  </si>
  <si>
    <t>10:46</t>
  </si>
  <si>
    <t>Jenniina Nylund</t>
  </si>
  <si>
    <t>11:39</t>
  </si>
  <si>
    <t>Aoi Shiga</t>
  </si>
  <si>
    <t>MODO</t>
  </si>
  <si>
    <t>05:51</t>
  </si>
  <si>
    <t>Sofie Lundin</t>
  </si>
  <si>
    <t>10:00</t>
  </si>
  <si>
    <t>Hanna Thuvik</t>
  </si>
  <si>
    <t>11:11</t>
  </si>
  <si>
    <t>Alexie Guay</t>
  </si>
  <si>
    <t>Farjestad</t>
  </si>
  <si>
    <t>16:48</t>
  </si>
  <si>
    <t>Sarah Bujold</t>
  </si>
  <si>
    <t>10:52</t>
  </si>
  <si>
    <t>Elin Svensson</t>
  </si>
  <si>
    <t>08:35</t>
  </si>
  <si>
    <t>Kayleigh Hamers</t>
  </si>
  <si>
    <t>11:37</t>
  </si>
  <si>
    <t>Lisa Johansson</t>
  </si>
  <si>
    <t>07:10</t>
  </si>
  <si>
    <t>Sarah Marchand</t>
  </si>
  <si>
    <t>06:20</t>
  </si>
  <si>
    <t>Nadia Mattivi</t>
  </si>
  <si>
    <t>05:48</t>
  </si>
  <si>
    <t>Linnea Andersson</t>
  </si>
  <si>
    <t>08:36</t>
  </si>
  <si>
    <t>Sanni Rantala</t>
  </si>
  <si>
    <t>08:11</t>
  </si>
  <si>
    <t>Ebba Hedqvist</t>
  </si>
  <si>
    <t>07:19</t>
  </si>
  <si>
    <t>Michelle Lowenhielm</t>
  </si>
  <si>
    <t>13:38</t>
  </si>
  <si>
    <t>Jaycee Magwood</t>
  </si>
  <si>
    <t>08:08</t>
  </si>
  <si>
    <t>Linda Vocetkova</t>
  </si>
  <si>
    <t>10:04</t>
  </si>
  <si>
    <t>Madie Leidt</t>
  </si>
  <si>
    <t>Linkoping</t>
  </si>
  <si>
    <t>12:07</t>
  </si>
  <si>
    <t>Kennedy Bobyck</t>
  </si>
  <si>
    <t>HV71</t>
  </si>
  <si>
    <t>09:35</t>
  </si>
  <si>
    <t>Tereza Pistekova</t>
  </si>
  <si>
    <t>11:01</t>
  </si>
  <si>
    <t>Johanna Fallman</t>
  </si>
  <si>
    <t>05:22</t>
  </si>
  <si>
    <t>Ella Skoldeback</t>
  </si>
  <si>
    <t>05:19</t>
  </si>
  <si>
    <t>Alice Ostensson</t>
  </si>
  <si>
    <t>07:48</t>
  </si>
  <si>
    <t>Julie Gough</t>
  </si>
  <si>
    <t>Charlotte Akervik</t>
  </si>
  <si>
    <t>08:45</t>
  </si>
  <si>
    <t>Ida Kuoppala</t>
  </si>
  <si>
    <t>Skelleftea</t>
  </si>
  <si>
    <t>09:15</t>
  </si>
  <si>
    <t>Teghan Inglis</t>
  </si>
  <si>
    <t>07:49</t>
  </si>
  <si>
    <t>Justine Reyes</t>
  </si>
  <si>
    <t>Adriana Van de Leest</t>
  </si>
  <si>
    <t>08:22</t>
  </si>
  <si>
    <t>Courtney Vorster</t>
  </si>
  <si>
    <t>07:27</t>
  </si>
  <si>
    <t>Gabby Jones</t>
  </si>
  <si>
    <t>06:49</t>
  </si>
  <si>
    <t>Paula Bergstrom</t>
  </si>
  <si>
    <t>04:44</t>
  </si>
  <si>
    <t>Ella Albinsson</t>
  </si>
  <si>
    <t>07:12</t>
  </si>
  <si>
    <t>Annie Silen</t>
  </si>
  <si>
    <t>06:46</t>
  </si>
  <si>
    <t>Alva Solberg</t>
  </si>
  <si>
    <t>06:47</t>
  </si>
  <si>
    <t>Melissa Jefferies</t>
  </si>
  <si>
    <t>06:18</t>
  </si>
  <si>
    <t>Isabelle Leijonhielm</t>
  </si>
  <si>
    <t>09:10</t>
  </si>
  <si>
    <t>Ellie Kaiser</t>
  </si>
  <si>
    <t>09:11</t>
  </si>
  <si>
    <t>Rachel Weiss</t>
  </si>
  <si>
    <t>07:58</t>
  </si>
  <si>
    <t>Barbora Bartakova</t>
  </si>
  <si>
    <t>09:43</t>
  </si>
  <si>
    <t>Vendula Pribylova</t>
  </si>
  <si>
    <t>04:59</t>
  </si>
  <si>
    <t>Thea Jorgensen</t>
  </si>
  <si>
    <t>07:53</t>
  </si>
  <si>
    <t>Josefine Holmgren</t>
  </si>
  <si>
    <t>05:40</t>
  </si>
  <si>
    <t>Emma Forsgren</t>
  </si>
  <si>
    <t>07:37</t>
  </si>
  <si>
    <t>Lotti Odnoga</t>
  </si>
  <si>
    <t>10:05</t>
  </si>
  <si>
    <t>Wilma Germundsson Wang</t>
  </si>
  <si>
    <t>05:23</t>
  </si>
  <si>
    <t>Lovisa Engstrom</t>
  </si>
  <si>
    <t>05:21</t>
  </si>
  <si>
    <t>Felizia Wikner Zienkiewicz</t>
  </si>
  <si>
    <t>04:11</t>
  </si>
  <si>
    <t>Mira Hallin</t>
  </si>
  <si>
    <t>08:52</t>
  </si>
  <si>
    <t>Aly McLeod</t>
  </si>
  <si>
    <t>06:04</t>
  </si>
  <si>
    <t>Nathalie Lidman</t>
  </si>
  <si>
    <t>06:21</t>
  </si>
  <si>
    <t>Alva Johnsson</t>
  </si>
  <si>
    <t>05:27</t>
  </si>
  <si>
    <t>Wilma Georgny</t>
  </si>
  <si>
    <t>04:24</t>
  </si>
  <si>
    <t>Anna Emily Nix</t>
  </si>
  <si>
    <t>04:07</t>
  </si>
  <si>
    <t>Katie Chan</t>
  </si>
  <si>
    <t>03:32</t>
  </si>
  <si>
    <t>Lindsay Agnew</t>
  </si>
  <si>
    <t>11:58</t>
  </si>
  <si>
    <t>Hanna Olsson</t>
  </si>
  <si>
    <t>06:05</t>
  </si>
  <si>
    <t>Emmi Rakkolainen</t>
  </si>
  <si>
    <t>04:32</t>
  </si>
  <si>
    <t>Sini Karjalainen</t>
  </si>
  <si>
    <t>05:44</t>
  </si>
  <si>
    <t>Alva Johansson</t>
  </si>
  <si>
    <t>03:43</t>
  </si>
  <si>
    <t>Evelyne Blais-Savoie</t>
  </si>
  <si>
    <t>05:31</t>
  </si>
  <si>
    <t>Julia Ostlund</t>
  </si>
  <si>
    <t>07:01</t>
  </si>
  <si>
    <t>Julia Nearis</t>
  </si>
  <si>
    <t>06:24</t>
  </si>
  <si>
    <t>Hilda Ljungberg</t>
  </si>
  <si>
    <t>07:04</t>
  </si>
  <si>
    <t>Maddie Posick</t>
  </si>
  <si>
    <t>09:17</t>
  </si>
  <si>
    <t>Jenna Donohue</t>
  </si>
  <si>
    <t>07:16</t>
  </si>
  <si>
    <t>Lauren Bellefontaine</t>
  </si>
  <si>
    <t>11:17</t>
  </si>
  <si>
    <t>Celine Tedenby</t>
  </si>
  <si>
    <t>07:26</t>
  </si>
  <si>
    <t>Neena Brick</t>
  </si>
  <si>
    <t>Mariam El-Mahmadi</t>
  </si>
  <si>
    <t>03:28</t>
  </si>
  <si>
    <t>Oona Koukkula</t>
  </si>
  <si>
    <t>07:52</t>
  </si>
  <si>
    <t>Jenna Pirttijarvi</t>
  </si>
  <si>
    <t>07:18</t>
  </si>
  <si>
    <t>Lova Blom</t>
  </si>
  <si>
    <t>12:19</t>
  </si>
  <si>
    <t>Emilie Kruse Johansen</t>
  </si>
  <si>
    <t>03:22</t>
  </si>
  <si>
    <t>Emma Muren</t>
  </si>
  <si>
    <t>09:20</t>
  </si>
  <si>
    <t>Selma Tyreskog</t>
  </si>
  <si>
    <t>06:12</t>
  </si>
  <si>
    <t>Jenna Goodwin</t>
  </si>
  <si>
    <t>Aino Karppinen</t>
  </si>
  <si>
    <t>08:00</t>
  </si>
  <si>
    <t>Kaitlin Jockims</t>
  </si>
  <si>
    <t>03:46</t>
  </si>
  <si>
    <t>Nicoline Jensen</t>
  </si>
  <si>
    <t>Mimmi Gill</t>
  </si>
  <si>
    <t>04:08</t>
  </si>
  <si>
    <t>Anna Brenkle</t>
  </si>
  <si>
    <t>05:41</t>
  </si>
  <si>
    <t>Nellie Svensson</t>
  </si>
  <si>
    <t>03:54</t>
  </si>
  <si>
    <t>Andrea Dalen</t>
  </si>
  <si>
    <t>07:50</t>
  </si>
  <si>
    <t>Hana Haasova</t>
  </si>
  <si>
    <t>08:25</t>
  </si>
  <si>
    <t>Jenny Antonsson</t>
  </si>
  <si>
    <t>04:16</t>
  </si>
  <si>
    <t>Inez Nygren</t>
  </si>
  <si>
    <t>03:44</t>
  </si>
  <si>
    <t>Maja Grundstrom</t>
  </si>
  <si>
    <t>06:29</t>
  </si>
  <si>
    <t>Ayaka Hitosato</t>
  </si>
  <si>
    <t>07:13</t>
  </si>
  <si>
    <t>Lene Tendenes</t>
  </si>
  <si>
    <t>Kelly Babstock</t>
  </si>
  <si>
    <t>Maude Poulin-Labelle</t>
  </si>
  <si>
    <t>05:55</t>
  </si>
  <si>
    <t>Ebba Berglund</t>
  </si>
  <si>
    <t>Grace Parker</t>
  </si>
  <si>
    <t>07:31</t>
  </si>
  <si>
    <t>Linnea Pettersson Dove</t>
  </si>
  <si>
    <t>05:30</t>
  </si>
  <si>
    <t>Ebba Westerlind</t>
  </si>
  <si>
    <t>02:37</t>
  </si>
  <si>
    <t>Julia Shaunessy</t>
  </si>
  <si>
    <t>Charli Kettyle</t>
  </si>
  <si>
    <t>Beatrice Hjalm</t>
  </si>
  <si>
    <t>Tuva Kandell</t>
  </si>
  <si>
    <t>06:41</t>
  </si>
  <si>
    <t>Cameron Sikich</t>
  </si>
  <si>
    <t>Linnea Johansson</t>
  </si>
  <si>
    <t>02:09</t>
  </si>
  <si>
    <t>Hedvig Sturk</t>
  </si>
  <si>
    <t>Karley Garcia</t>
  </si>
  <si>
    <t>04:58</t>
  </si>
  <si>
    <t>Tiffany Hill</t>
  </si>
  <si>
    <t>Naomi Rogge</t>
  </si>
  <si>
    <t>07:57</t>
  </si>
  <si>
    <t>Sydney Pedersen</t>
  </si>
  <si>
    <t>04:49</t>
  </si>
  <si>
    <t>Olivia Sohrner</t>
  </si>
  <si>
    <t>Elsa Aberg</t>
  </si>
  <si>
    <t>02:33</t>
  </si>
  <si>
    <t>Jessica Adolfsson</t>
  </si>
  <si>
    <t>03:14</t>
  </si>
  <si>
    <t>Julie Zwarthoed</t>
  </si>
  <si>
    <t>03:23</t>
  </si>
  <si>
    <t>Sophie Helgeson</t>
  </si>
  <si>
    <t>08:13</t>
  </si>
  <si>
    <t>Anna Andersson</t>
  </si>
  <si>
    <t>05:09</t>
  </si>
  <si>
    <t>Sara Hjalmarsson</t>
  </si>
  <si>
    <t>03:39</t>
  </si>
  <si>
    <t>Sara Lindqvist</t>
  </si>
  <si>
    <t>03:02</t>
  </si>
  <si>
    <t>Tilde Sundnas Grillfors</t>
  </si>
  <si>
    <t>Marthe Pabsdorff Brunvold</t>
  </si>
  <si>
    <t>06:01</t>
  </si>
  <si>
    <t>Klara Jandusikova</t>
  </si>
  <si>
    <t>Nova Aberg</t>
  </si>
  <si>
    <t>Malva Lindgren</t>
  </si>
  <si>
    <t>03:11</t>
  </si>
  <si>
    <t>Selma Karlsson</t>
  </si>
  <si>
    <t>02:30</t>
  </si>
  <si>
    <t>Wilma Sundin</t>
  </si>
  <si>
    <t>02:10</t>
  </si>
  <si>
    <t>Rebecka Hollstrom</t>
  </si>
  <si>
    <t>04:12</t>
  </si>
  <si>
    <t>Edit Danielsson</t>
  </si>
  <si>
    <t>Moa Wernblom</t>
  </si>
  <si>
    <t>04:55</t>
  </si>
  <si>
    <t>Millie Rose Sirum</t>
  </si>
  <si>
    <t>06:15</t>
  </si>
  <si>
    <t>Tilde Sjodin</t>
  </si>
  <si>
    <t>04:23</t>
  </si>
  <si>
    <t>Meja Andersson</t>
  </si>
  <si>
    <t>Ema Tothova</t>
  </si>
  <si>
    <t>02:40</t>
  </si>
  <si>
    <t>Thea Liodden</t>
  </si>
  <si>
    <t>05:39</t>
  </si>
  <si>
    <t>Moa Johannesson</t>
  </si>
  <si>
    <t>03:31</t>
  </si>
  <si>
    <t>Paige McGuire</t>
  </si>
  <si>
    <t>06:58</t>
  </si>
  <si>
    <t>Sanna Halsius</t>
  </si>
  <si>
    <t>03:47</t>
  </si>
  <si>
    <t>Alexis Paddington</t>
  </si>
  <si>
    <t>02:58</t>
  </si>
  <si>
    <t>Line Grahn</t>
  </si>
  <si>
    <t>Nikita Bergmann</t>
  </si>
  <si>
    <t>Saga Odebrant</t>
  </si>
  <si>
    <t>02:59</t>
  </si>
  <si>
    <t>Emilia Bergeby Hallbeck</t>
  </si>
  <si>
    <t>06:14</t>
  </si>
  <si>
    <t>Sofia Sohlin</t>
  </si>
  <si>
    <t>01:04</t>
  </si>
  <si>
    <t>Kajsa Anette Braten</t>
  </si>
  <si>
    <t>02:36</t>
  </si>
  <si>
    <t>Leia Eriksson</t>
  </si>
  <si>
    <t>02:57</t>
  </si>
  <si>
    <t>Moa Viklund</t>
  </si>
  <si>
    <t>03:00</t>
  </si>
  <si>
    <t>Nellie Noren</t>
  </si>
  <si>
    <t>02:21</t>
  </si>
  <si>
    <t>Ella Thorbard</t>
  </si>
  <si>
    <t>02:05</t>
  </si>
  <si>
    <t>Vilma Nilsson</t>
  </si>
  <si>
    <t>03:15</t>
  </si>
  <si>
    <t>Tea Lokke Nyberg</t>
  </si>
  <si>
    <t>04:53</t>
  </si>
  <si>
    <t>Eimear Leacy</t>
  </si>
  <si>
    <t>02:43</t>
  </si>
  <si>
    <t>Matilda Osterman</t>
  </si>
  <si>
    <t>01:11</t>
  </si>
  <si>
    <t>Madison Mashuga</t>
  </si>
  <si>
    <t>03:48</t>
  </si>
  <si>
    <t>Ella Jamsen</t>
  </si>
  <si>
    <t>Andrea Horst Kaspersen</t>
  </si>
  <si>
    <t>01:34</t>
  </si>
  <si>
    <t>Vilma Granlund</t>
  </si>
  <si>
    <t>03:30</t>
  </si>
  <si>
    <t>Anneke Rankila</t>
  </si>
  <si>
    <t>01:39</t>
  </si>
  <si>
    <t>Eve Savander</t>
  </si>
  <si>
    <t>02:48</t>
  </si>
  <si>
    <t>Emma Bergesen</t>
  </si>
  <si>
    <t>02:04</t>
  </si>
  <si>
    <t>Emma Johnson</t>
  </si>
  <si>
    <t>Emelie Cordoba</t>
  </si>
  <si>
    <t>06:30</t>
  </si>
  <si>
    <t>Malou Berggren</t>
  </si>
  <si>
    <t>04:41</t>
  </si>
  <si>
    <t>Maja Beverin</t>
  </si>
  <si>
    <t>02:35</t>
  </si>
  <si>
    <t>Andrine Furulund</t>
  </si>
  <si>
    <t>05:37</t>
  </si>
  <si>
    <t>Malia Schneider</t>
  </si>
  <si>
    <t>00:43</t>
  </si>
  <si>
    <t>Edith Larsson Ornkloo</t>
  </si>
  <si>
    <t>Ella Hellman</t>
  </si>
  <si>
    <t>04:17</t>
  </si>
  <si>
    <t>Ebba Hesselvall</t>
  </si>
  <si>
    <t>01:47</t>
  </si>
  <si>
    <t>Felicia Levin</t>
  </si>
  <si>
    <t>03:55</t>
  </si>
  <si>
    <t>Evelina Arvidsson</t>
  </si>
  <si>
    <t>Silje Kongstorp Johansen</t>
  </si>
  <si>
    <t>01:25</t>
  </si>
  <si>
    <t>Tilia Lindgren</t>
  </si>
  <si>
    <t>00:01</t>
  </si>
  <si>
    <t>Linnea Adelbertsson</t>
  </si>
  <si>
    <t>01:58</t>
  </si>
  <si>
    <t>Haruka Toko</t>
  </si>
  <si>
    <t>Sara Bjurven</t>
  </si>
  <si>
    <t>03:26</t>
  </si>
  <si>
    <t>Maja Akerlund</t>
  </si>
  <si>
    <t>01:50</t>
  </si>
  <si>
    <t>Vega Milfors</t>
  </si>
  <si>
    <t>Chanreet Bassi</t>
  </si>
  <si>
    <t>01:49</t>
  </si>
  <si>
    <t>Linn Stenlund</t>
  </si>
  <si>
    <t>00:48</t>
  </si>
  <si>
    <t>Tillie Ytfeldt</t>
  </si>
  <si>
    <t>00:28</t>
  </si>
  <si>
    <t>Nelly Johansson</t>
  </si>
  <si>
    <t>00:23</t>
  </si>
  <si>
    <t>Elsa Blarand</t>
  </si>
  <si>
    <t>01:51</t>
  </si>
  <si>
    <t>Alice Wallin</t>
  </si>
  <si>
    <t>01:19</t>
  </si>
  <si>
    <t>Moa Stridh</t>
  </si>
  <si>
    <t>Izabel Ryding</t>
  </si>
  <si>
    <t>00:13</t>
  </si>
  <si>
    <t>Silke Glud</t>
  </si>
  <si>
    <t>Rae Breton</t>
  </si>
  <si>
    <t>01:43</t>
  </si>
  <si>
    <t>Maja Staring</t>
  </si>
  <si>
    <t>00:19</t>
  </si>
  <si>
    <t>Filippa Fernstrom</t>
  </si>
  <si>
    <t>00:11</t>
  </si>
  <si>
    <t>Ebba Lindberg</t>
  </si>
  <si>
    <t>00:34</t>
  </si>
  <si>
    <t>Linn Mattsson</t>
  </si>
  <si>
    <t>Nicole Andersson</t>
  </si>
  <si>
    <t>00:53</t>
  </si>
  <si>
    <t>Felicia Ohrqvist</t>
  </si>
  <si>
    <t>Tilda Edsman</t>
  </si>
  <si>
    <t>00:31</t>
  </si>
  <si>
    <t>Nova Ryen</t>
  </si>
  <si>
    <t>00:26</t>
  </si>
  <si>
    <t>Ellen Lovgren</t>
  </si>
  <si>
    <t>02:08</t>
  </si>
  <si>
    <t>Laura Lerchova</t>
  </si>
  <si>
    <t>00:21</t>
  </si>
  <si>
    <t>Franziska Stocker</t>
  </si>
  <si>
    <t>00:06</t>
  </si>
  <si>
    <t>Leia Appelqvist</t>
  </si>
  <si>
    <t>00:07</t>
  </si>
  <si>
    <t>Stella Sjoberg</t>
  </si>
  <si>
    <t>Ella Planting-Bergloo</t>
  </si>
  <si>
    <t>01:35</t>
  </si>
  <si>
    <t>Greta Johansson</t>
  </si>
  <si>
    <t>00:12</t>
  </si>
  <si>
    <t>Ida Melin</t>
  </si>
  <si>
    <t>00:09</t>
  </si>
  <si>
    <t>Anousha Khodaverdian</t>
  </si>
  <si>
    <t>00:02</t>
  </si>
  <si>
    <t>Stina Rohricht</t>
  </si>
  <si>
    <t>00:05</t>
  </si>
  <si>
    <t>Lova Torsson</t>
  </si>
  <si>
    <t>00:00</t>
  </si>
  <si>
    <t>Moa Gustafsson</t>
  </si>
  <si>
    <t>00:04</t>
  </si>
  <si>
    <t>Disa Carlsson</t>
  </si>
  <si>
    <t>Nova Stalnacke</t>
  </si>
  <si>
    <t>00:39</t>
  </si>
  <si>
    <t>Sophie Lalor</t>
  </si>
  <si>
    <t>00:33</t>
  </si>
  <si>
    <t>Wilma Vidmark</t>
  </si>
  <si>
    <t>Saga Josefsson</t>
  </si>
  <si>
    <t>00:55</t>
  </si>
  <si>
    <t>Matilda Lindstrom</t>
  </si>
  <si>
    <t>00:08</t>
  </si>
  <si>
    <t>Liv Wignell</t>
  </si>
  <si>
    <t>Wiktoria Sikorska</t>
  </si>
  <si>
    <t>00:16</t>
  </si>
  <si>
    <t>Ragnhild Klomstad</t>
  </si>
  <si>
    <t>00:36</t>
  </si>
  <si>
    <t>Tilde Utbult</t>
  </si>
  <si>
    <t>Clara Matchett</t>
  </si>
  <si>
    <t>00:14</t>
  </si>
  <si>
    <t>Ebba Hornquist</t>
  </si>
  <si>
    <t>00:15</t>
  </si>
  <si>
    <t>Iris Grini</t>
  </si>
  <si>
    <t>Elsa Pallin</t>
  </si>
  <si>
    <t>00:03</t>
  </si>
  <si>
    <t>Ida Hansson</t>
  </si>
  <si>
    <t>Emmy Tjarnlund</t>
  </si>
  <si>
    <t>Nike Bondesson</t>
  </si>
  <si>
    <t>Ellen Wigermo</t>
  </si>
  <si>
    <t>00:44</t>
  </si>
  <si>
    <t>Bianca Willander</t>
  </si>
  <si>
    <t>Evelyn Andersson</t>
  </si>
  <si>
    <t>Tyra Hakansson</t>
  </si>
  <si>
    <t>00:24</t>
  </si>
  <si>
    <t>Elina Sydenhag</t>
  </si>
  <si>
    <t>Vera Svedung</t>
  </si>
  <si>
    <t>00:20</t>
  </si>
  <si>
    <t>Miranda Lindstrom</t>
  </si>
  <si>
    <t>Matilda Henriksson Ribeiro</t>
  </si>
  <si>
    <t>Sunna Bjorgvinsdottir</t>
  </si>
  <si>
    <t>Svea Nordqvist</t>
  </si>
  <si>
    <t>Anna Lofstedt</t>
  </si>
  <si>
    <t>+/0</t>
  </si>
  <si>
    <t>Pre shots passes</t>
  </si>
  <si>
    <t>Inner slot shots total</t>
  </si>
  <si>
    <t>Net xG</t>
  </si>
  <si>
    <t>Net penalties</t>
  </si>
  <si>
    <t>Goals/60</t>
  </si>
  <si>
    <t>Assists/60</t>
  </si>
  <si>
    <t>xG/60</t>
  </si>
  <si>
    <t>Net penalties/60</t>
  </si>
  <si>
    <t>Takeaways  /60</t>
  </si>
  <si>
    <t>Puck losses/60</t>
  </si>
  <si>
    <t>Inner slot shots total/60</t>
  </si>
  <si>
    <t>Pre shots passes/60</t>
  </si>
  <si>
    <t>Puck battles/60</t>
  </si>
  <si>
    <t>GP</t>
  </si>
  <si>
    <t>OTW</t>
  </si>
  <si>
    <t>OTL</t>
  </si>
  <si>
    <t>SOW</t>
  </si>
  <si>
    <t>SOL</t>
  </si>
  <si>
    <t>Wins</t>
  </si>
  <si>
    <t>Losses</t>
  </si>
  <si>
    <t>Goal for</t>
  </si>
  <si>
    <t>Goal agn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</si>
</sst>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sz val="9"/>
      <name val="PT Sans"/>
      <family val="2"/>
    </font>
    <font>
      <sz val="9"/>
      <name val="PT Sans"/>
      <family val="2"/>
    </font>
    <font>
      <sz val="9"/>
      <name val="PT Sans"/>
      <family val="2"/>
    </font>
    <font>
      <sz val="9"/>
      <name val="PT Sans"/>
      <family val="2"/>
    </font>
    <font>
      <sz val="11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0" fontId="4" fillId="0" borderId="0" xfId="0" applyNumberFormat="1" applyFont="1" applyAlignment="1">
      <alignment horizontal="left" vertical="center"/>
    </xf>
    <xf numFmtId="9" fontId="4" fillId="0" borderId="0" xfId="0" applyNumberFormat="1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/>
    <xf numFmtId="2" fontId="4" fillId="0" borderId="0" xfId="0" applyNumberFormat="1" applyFont="1" applyAlignment="1">
      <alignment horizontal="left" vertical="center"/>
    </xf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ali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8"/>
  <sheetViews>
    <sheetView tabSelected="1" workbookViewId="0">
      <selection sqref="A1:AQ3"/>
    </sheetView>
  </sheetViews>
  <sheetFormatPr defaultRowHeight="14.5" x14ac:dyDescent="0.35"/>
  <cols>
    <col min="1" max="1" width="20.54296875" style="6" customWidth="1"/>
    <col min="2" max="2" width="10.54296875" style="6" customWidth="1"/>
    <col min="3" max="21" width="9.81640625" customWidth="1"/>
    <col min="22" max="22" width="9.81640625" style="13" customWidth="1"/>
    <col min="23" max="42" width="9.81640625" customWidth="1"/>
    <col min="43" max="43" width="8.7265625" style="15"/>
  </cols>
  <sheetData>
    <row r="1" spans="1:44" ht="36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491</v>
      </c>
      <c r="H1" s="1" t="s">
        <v>6</v>
      </c>
      <c r="I1" s="9" t="s">
        <v>492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9" t="s">
        <v>493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486</v>
      </c>
      <c r="V1" s="11" t="s">
        <v>17</v>
      </c>
      <c r="W1" s="1" t="s">
        <v>18</v>
      </c>
      <c r="X1" s="1" t="s">
        <v>19</v>
      </c>
      <c r="Y1" s="1" t="s">
        <v>20</v>
      </c>
      <c r="Z1" s="10" t="s">
        <v>490</v>
      </c>
      <c r="AA1" s="10" t="s">
        <v>494</v>
      </c>
      <c r="AB1" s="1" t="s">
        <v>21</v>
      </c>
      <c r="AC1" s="9" t="s">
        <v>495</v>
      </c>
      <c r="AD1" s="1" t="s">
        <v>22</v>
      </c>
      <c r="AE1" s="9" t="s">
        <v>496</v>
      </c>
      <c r="AF1" s="1" t="s">
        <v>23</v>
      </c>
      <c r="AG1" s="1" t="s">
        <v>24</v>
      </c>
      <c r="AH1" s="10" t="s">
        <v>489</v>
      </c>
      <c r="AI1" s="9" t="s">
        <v>497</v>
      </c>
      <c r="AJ1" s="9" t="s">
        <v>488</v>
      </c>
      <c r="AK1" s="1" t="s">
        <v>25</v>
      </c>
      <c r="AL1" s="9" t="s">
        <v>487</v>
      </c>
      <c r="AM1" s="9" t="s">
        <v>498</v>
      </c>
      <c r="AN1" s="1" t="s">
        <v>26</v>
      </c>
      <c r="AO1" s="1" t="s">
        <v>27</v>
      </c>
      <c r="AP1" s="1" t="s">
        <v>28</v>
      </c>
      <c r="AQ1" s="9" t="s">
        <v>499</v>
      </c>
      <c r="AR1" s="9"/>
    </row>
    <row r="2" spans="1:44" x14ac:dyDescent="0.35">
      <c r="A2" s="5" t="s">
        <v>64</v>
      </c>
      <c r="B2" s="5" t="s">
        <v>46</v>
      </c>
      <c r="C2" s="2" t="s">
        <v>31</v>
      </c>
      <c r="D2" s="2">
        <v>36</v>
      </c>
      <c r="E2" s="3">
        <v>573.95000000000005</v>
      </c>
      <c r="F2" s="2">
        <v>4</v>
      </c>
      <c r="G2" s="14">
        <f>(F2/E2)*60</f>
        <v>0.41815489154107499</v>
      </c>
      <c r="H2" s="2">
        <v>13</v>
      </c>
      <c r="I2" s="14">
        <f>(H2/E2)*60</f>
        <v>1.3590033975084936</v>
      </c>
      <c r="J2" s="2">
        <v>17</v>
      </c>
      <c r="K2" s="2">
        <v>36</v>
      </c>
      <c r="L2" s="2">
        <v>108</v>
      </c>
      <c r="M2" s="2">
        <v>65</v>
      </c>
      <c r="N2" s="2">
        <v>3.36</v>
      </c>
      <c r="O2" s="2">
        <v>11.5</v>
      </c>
      <c r="P2" s="2">
        <f>(O2/E2)*60</f>
        <v>1.2021953131805907</v>
      </c>
      <c r="Q2" s="2">
        <v>1</v>
      </c>
      <c r="R2" s="2">
        <v>0</v>
      </c>
      <c r="S2" s="2">
        <v>1</v>
      </c>
      <c r="T2" s="2">
        <v>0</v>
      </c>
      <c r="U2" s="2">
        <v>24</v>
      </c>
      <c r="V2" s="12">
        <v>34</v>
      </c>
      <c r="W2" s="2">
        <v>10</v>
      </c>
      <c r="X2" s="2">
        <v>5</v>
      </c>
      <c r="Y2" s="2">
        <v>5</v>
      </c>
      <c r="Z2" s="2">
        <f>Y2-X2</f>
        <v>0</v>
      </c>
      <c r="AA2" s="2">
        <f>(Z2/E2)*60</f>
        <v>0</v>
      </c>
      <c r="AB2" s="2">
        <v>92</v>
      </c>
      <c r="AC2" s="2">
        <f>(AB2/E2)*60</f>
        <v>9.6175625054447256</v>
      </c>
      <c r="AD2" s="2">
        <v>115</v>
      </c>
      <c r="AE2" s="2">
        <f>(AD2/E2)*60</f>
        <v>12.021953131805907</v>
      </c>
      <c r="AF2" s="2">
        <v>47.7</v>
      </c>
      <c r="AG2" s="2">
        <v>27.5</v>
      </c>
      <c r="AH2" s="2">
        <f>AF2-AG2</f>
        <v>20.200000000000003</v>
      </c>
      <c r="AI2" s="2">
        <v>36</v>
      </c>
      <c r="AJ2" s="2">
        <f>(AI2/E2)*60</f>
        <v>3.7633940238696746</v>
      </c>
      <c r="AK2" s="2">
        <v>17</v>
      </c>
      <c r="AL2" s="2">
        <v>27</v>
      </c>
      <c r="AM2" s="2">
        <f>(AL2/E2)*60</f>
        <v>2.8225455179022561</v>
      </c>
      <c r="AN2" s="2" t="s">
        <v>65</v>
      </c>
      <c r="AO2" s="2">
        <v>387</v>
      </c>
      <c r="AP2" s="2">
        <v>218</v>
      </c>
      <c r="AQ2" s="14">
        <f>(AP2/E2)*60</f>
        <v>22.789441588988588</v>
      </c>
    </row>
    <row r="3" spans="1:44" x14ac:dyDescent="0.35">
      <c r="A3" s="5" t="s">
        <v>52</v>
      </c>
      <c r="B3" s="5" t="s">
        <v>53</v>
      </c>
      <c r="C3" s="2" t="s">
        <v>31</v>
      </c>
      <c r="D3" s="2">
        <v>36</v>
      </c>
      <c r="E3" s="3">
        <v>646.7166666666667</v>
      </c>
      <c r="F3" s="2">
        <v>7</v>
      </c>
      <c r="G3" s="14">
        <f>(F3/E3)*60</f>
        <v>0.64943432208849827</v>
      </c>
      <c r="H3" s="2">
        <v>18</v>
      </c>
      <c r="I3" s="14">
        <f>(H3/E3)*60</f>
        <v>1.6699739710847099</v>
      </c>
      <c r="J3" s="2">
        <v>25</v>
      </c>
      <c r="K3" s="2">
        <v>42</v>
      </c>
      <c r="L3" s="2">
        <v>156</v>
      </c>
      <c r="M3" s="2">
        <v>86</v>
      </c>
      <c r="N3" s="2">
        <v>3.52</v>
      </c>
      <c r="O3" s="2">
        <v>15.5</v>
      </c>
      <c r="P3" s="2">
        <f>(O3/E3)*60</f>
        <v>1.4380331417673891</v>
      </c>
      <c r="Q3" s="2">
        <v>133</v>
      </c>
      <c r="R3" s="2">
        <v>87</v>
      </c>
      <c r="S3" s="2">
        <v>46</v>
      </c>
      <c r="T3" s="7">
        <v>0.65400000000000003</v>
      </c>
      <c r="U3" s="2">
        <v>15</v>
      </c>
      <c r="V3" s="12">
        <v>35</v>
      </c>
      <c r="W3" s="2">
        <v>20</v>
      </c>
      <c r="X3" s="2">
        <v>2</v>
      </c>
      <c r="Y3" s="2">
        <v>15</v>
      </c>
      <c r="Z3" s="2">
        <f>Y3-X3</f>
        <v>13</v>
      </c>
      <c r="AA3" s="2">
        <f>(Z3/E3)*60</f>
        <v>1.2060923124500682</v>
      </c>
      <c r="AB3" s="2">
        <v>94</v>
      </c>
      <c r="AC3" s="2">
        <f>(AB3/E3)*60</f>
        <v>8.7209751823312622</v>
      </c>
      <c r="AD3" s="2">
        <v>150</v>
      </c>
      <c r="AE3" s="2">
        <f>(AD3/E3)*60</f>
        <v>13.916449759039249</v>
      </c>
      <c r="AF3" s="2">
        <v>47.4</v>
      </c>
      <c r="AG3" s="2">
        <v>21</v>
      </c>
      <c r="AH3" s="2">
        <f>AF3-AG3</f>
        <v>26.4</v>
      </c>
      <c r="AI3" s="2">
        <v>42</v>
      </c>
      <c r="AJ3" s="2">
        <f>(AI3/E3)*60</f>
        <v>3.8966059325309894</v>
      </c>
      <c r="AK3" s="2">
        <v>26</v>
      </c>
      <c r="AL3" s="2">
        <v>25</v>
      </c>
      <c r="AM3" s="2">
        <f>(AL3/E3)*60</f>
        <v>2.3194082931732081</v>
      </c>
      <c r="AN3" s="2" t="s">
        <v>54</v>
      </c>
      <c r="AO3" s="2">
        <v>469</v>
      </c>
      <c r="AP3" s="2">
        <v>241</v>
      </c>
      <c r="AQ3" s="14">
        <f>(AP3/E3)*60</f>
        <v>22.359095946189726</v>
      </c>
    </row>
    <row r="4" spans="1:44" x14ac:dyDescent="0.35">
      <c r="A4" s="5" t="s">
        <v>98</v>
      </c>
      <c r="B4" s="5" t="s">
        <v>78</v>
      </c>
      <c r="C4" s="2" t="s">
        <v>31</v>
      </c>
      <c r="D4" s="2">
        <v>36</v>
      </c>
      <c r="E4" s="3">
        <v>750.11666666666667</v>
      </c>
      <c r="F4" s="2">
        <v>4</v>
      </c>
      <c r="G4" s="14">
        <f>(F4/E4)*60</f>
        <v>0.31995022996422778</v>
      </c>
      <c r="H4" s="2">
        <v>12</v>
      </c>
      <c r="I4" s="14">
        <f>(H4/E4)*60</f>
        <v>0.9598506898926833</v>
      </c>
      <c r="J4" s="2">
        <v>16</v>
      </c>
      <c r="K4" s="2">
        <v>12</v>
      </c>
      <c r="L4" s="2">
        <v>171</v>
      </c>
      <c r="M4" s="2">
        <v>72</v>
      </c>
      <c r="N4" s="2">
        <v>1.71</v>
      </c>
      <c r="O4" s="2">
        <v>8.1999999999999993</v>
      </c>
      <c r="P4" s="2">
        <f>(O4/E4)*60</f>
        <v>0.65589797142666684</v>
      </c>
      <c r="Q4" s="2">
        <v>238</v>
      </c>
      <c r="R4" s="2">
        <v>131</v>
      </c>
      <c r="S4" s="2">
        <v>107</v>
      </c>
      <c r="T4" s="8">
        <v>0.55000000000000004</v>
      </c>
      <c r="U4" s="2">
        <v>0</v>
      </c>
      <c r="V4" s="12">
        <v>27</v>
      </c>
      <c r="W4" s="2">
        <v>27</v>
      </c>
      <c r="X4" s="2">
        <v>8</v>
      </c>
      <c r="Y4" s="2">
        <v>10</v>
      </c>
      <c r="Z4" s="2">
        <f>Y4-X4</f>
        <v>2</v>
      </c>
      <c r="AA4" s="2">
        <f>(Z4/E4)*60</f>
        <v>0.15997511498211389</v>
      </c>
      <c r="AB4" s="2">
        <v>301</v>
      </c>
      <c r="AC4" s="2">
        <f>(AB4/E4)*60</f>
        <v>24.076254804808141</v>
      </c>
      <c r="AD4" s="2">
        <v>184</v>
      </c>
      <c r="AE4" s="2">
        <f>(AD4/E4)*60</f>
        <v>14.717710578354477</v>
      </c>
      <c r="AF4" s="2">
        <v>33.5</v>
      </c>
      <c r="AG4" s="2">
        <v>42.6</v>
      </c>
      <c r="AH4" s="2">
        <f>AF4-AG4</f>
        <v>-9.1000000000000014</v>
      </c>
      <c r="AI4" s="2">
        <v>12</v>
      </c>
      <c r="AJ4" s="2">
        <f>(AI4/E4)*60</f>
        <v>0.9598506898926833</v>
      </c>
      <c r="AK4" s="2">
        <v>14</v>
      </c>
      <c r="AL4" s="2">
        <v>20</v>
      </c>
      <c r="AM4" s="2">
        <f>(AL4/E4)*60</f>
        <v>1.5997511498211388</v>
      </c>
      <c r="AN4" s="2" t="s">
        <v>99</v>
      </c>
      <c r="AO4" s="2">
        <v>489</v>
      </c>
      <c r="AP4" s="2">
        <v>278</v>
      </c>
      <c r="AQ4" s="14">
        <f>(AP4/E4)*60</f>
        <v>22.23654098251383</v>
      </c>
    </row>
    <row r="5" spans="1:44" x14ac:dyDescent="0.35">
      <c r="A5" s="5" t="s">
        <v>143</v>
      </c>
      <c r="B5" s="5" t="s">
        <v>60</v>
      </c>
      <c r="C5" s="2" t="s">
        <v>31</v>
      </c>
      <c r="D5" s="2">
        <v>36</v>
      </c>
      <c r="E5" s="3">
        <v>643.15</v>
      </c>
      <c r="F5" s="2">
        <v>3</v>
      </c>
      <c r="G5" s="14">
        <f>(F5/E5)*60</f>
        <v>0.27987250252662677</v>
      </c>
      <c r="H5" s="2">
        <v>11</v>
      </c>
      <c r="I5" s="14">
        <f>(H5/E5)*60</f>
        <v>1.0261991759309648</v>
      </c>
      <c r="J5" s="2">
        <v>14</v>
      </c>
      <c r="K5" s="2">
        <v>24</v>
      </c>
      <c r="L5" s="2">
        <v>90</v>
      </c>
      <c r="M5" s="2">
        <v>59</v>
      </c>
      <c r="N5" s="2">
        <v>2.8</v>
      </c>
      <c r="O5" s="2">
        <v>8.1</v>
      </c>
      <c r="P5" s="2">
        <f>(O5/E5)*60</f>
        <v>0.75565575682189223</v>
      </c>
      <c r="Q5" s="2">
        <v>381</v>
      </c>
      <c r="R5" s="2">
        <v>208</v>
      </c>
      <c r="S5" s="2">
        <v>173</v>
      </c>
      <c r="T5" s="7">
        <v>0.54600000000000004</v>
      </c>
      <c r="U5" s="2">
        <v>7</v>
      </c>
      <c r="V5" s="12">
        <v>22</v>
      </c>
      <c r="W5" s="2">
        <v>15</v>
      </c>
      <c r="X5" s="2">
        <v>10</v>
      </c>
      <c r="Y5" s="2">
        <v>10</v>
      </c>
      <c r="Z5" s="2">
        <f>Y5-X5</f>
        <v>0</v>
      </c>
      <c r="AA5" s="2">
        <f>(Z5/E5)*60</f>
        <v>0</v>
      </c>
      <c r="AB5" s="2">
        <v>139</v>
      </c>
      <c r="AC5" s="2">
        <f>(AB5/E5)*60</f>
        <v>12.967425950400374</v>
      </c>
      <c r="AD5" s="2">
        <v>126</v>
      </c>
      <c r="AE5" s="2">
        <f>(AD5/E5)*60</f>
        <v>11.754645106118323</v>
      </c>
      <c r="AF5" s="2">
        <v>29.2</v>
      </c>
      <c r="AG5" s="2">
        <v>34.200000000000003</v>
      </c>
      <c r="AH5" s="2">
        <f>AF5-AG5</f>
        <v>-5.0000000000000036</v>
      </c>
      <c r="AI5" s="2">
        <v>24</v>
      </c>
      <c r="AJ5" s="2">
        <f>(AI5/E5)*60</f>
        <v>2.2389800202130141</v>
      </c>
      <c r="AK5" s="2">
        <v>21</v>
      </c>
      <c r="AL5" s="2">
        <v>27</v>
      </c>
      <c r="AM5" s="2">
        <f>(AL5/E5)*60</f>
        <v>2.5188525227396412</v>
      </c>
      <c r="AN5" s="2" t="s">
        <v>144</v>
      </c>
      <c r="AO5" s="2">
        <v>428</v>
      </c>
      <c r="AP5" s="2">
        <v>238</v>
      </c>
      <c r="AQ5" s="14">
        <f>(AP5/E5)*60</f>
        <v>22.203218533779054</v>
      </c>
    </row>
    <row r="6" spans="1:44" x14ac:dyDescent="0.35">
      <c r="A6" s="5" t="s">
        <v>302</v>
      </c>
      <c r="B6" s="5" t="s">
        <v>105</v>
      </c>
      <c r="C6" s="2" t="s">
        <v>31</v>
      </c>
      <c r="D6" s="2">
        <v>36</v>
      </c>
      <c r="E6" s="3">
        <v>485.31666666666666</v>
      </c>
      <c r="F6" s="2">
        <v>2</v>
      </c>
      <c r="G6" s="14">
        <f>(F6/E6)*60</f>
        <v>0.24726123836670214</v>
      </c>
      <c r="H6" s="2">
        <v>1</v>
      </c>
      <c r="I6" s="14">
        <f>(H6/E6)*60</f>
        <v>0.12363061918335107</v>
      </c>
      <c r="J6" s="2">
        <v>3</v>
      </c>
      <c r="K6" s="2">
        <v>9</v>
      </c>
      <c r="L6" s="2">
        <v>45</v>
      </c>
      <c r="M6" s="2">
        <v>26</v>
      </c>
      <c r="N6" s="2">
        <v>1.87</v>
      </c>
      <c r="O6" s="2">
        <v>3.48</v>
      </c>
      <c r="P6" s="2">
        <f>(O6/E6)*60</f>
        <v>0.43023455475806172</v>
      </c>
      <c r="Q6" s="2">
        <v>0</v>
      </c>
      <c r="R6" s="2">
        <v>0</v>
      </c>
      <c r="S6" s="2">
        <v>0</v>
      </c>
      <c r="T6" s="2">
        <v>0</v>
      </c>
      <c r="U6" s="2">
        <v>19</v>
      </c>
      <c r="V6" s="12">
        <v>9</v>
      </c>
      <c r="W6" s="2">
        <v>28</v>
      </c>
      <c r="X6" s="2">
        <v>6</v>
      </c>
      <c r="Y6" s="2">
        <v>7</v>
      </c>
      <c r="Z6" s="2">
        <f>Y6-X6</f>
        <v>1</v>
      </c>
      <c r="AA6" s="2">
        <f>(Z6/E6)*60</f>
        <v>0.12363061918335107</v>
      </c>
      <c r="AB6" s="2">
        <v>93</v>
      </c>
      <c r="AC6" s="2">
        <f>(AB6/E6)*60</f>
        <v>11.49764758405165</v>
      </c>
      <c r="AD6" s="2">
        <v>135</v>
      </c>
      <c r="AE6" s="2">
        <f>(AD6/E6)*60</f>
        <v>16.690133589752392</v>
      </c>
      <c r="AF6" s="2">
        <v>12.6</v>
      </c>
      <c r="AG6" s="2">
        <v>36.5</v>
      </c>
      <c r="AH6" s="2">
        <f>AF6-AG6</f>
        <v>-23.9</v>
      </c>
      <c r="AI6" s="2">
        <v>9</v>
      </c>
      <c r="AJ6" s="2">
        <f>(AI6/E6)*60</f>
        <v>1.1126755726501598</v>
      </c>
      <c r="AK6" s="2">
        <v>6</v>
      </c>
      <c r="AL6" s="2">
        <v>4</v>
      </c>
      <c r="AM6" s="2">
        <f>(AL6/E6)*60</f>
        <v>0.49452247673340427</v>
      </c>
      <c r="AN6" s="2" t="s">
        <v>303</v>
      </c>
      <c r="AO6" s="2">
        <v>375</v>
      </c>
      <c r="AP6" s="2">
        <v>174</v>
      </c>
      <c r="AQ6" s="14">
        <f>(AP6/E6)*60</f>
        <v>21.511727737903087</v>
      </c>
    </row>
    <row r="7" spans="1:44" x14ac:dyDescent="0.35">
      <c r="A7" s="5" t="s">
        <v>315</v>
      </c>
      <c r="B7" s="5" t="s">
        <v>78</v>
      </c>
      <c r="C7" s="2" t="s">
        <v>31</v>
      </c>
      <c r="D7" s="2">
        <v>36</v>
      </c>
      <c r="E7" s="3">
        <v>567.20000000000005</v>
      </c>
      <c r="F7" s="2">
        <v>3</v>
      </c>
      <c r="G7" s="14">
        <f>(F7/E7)*60</f>
        <v>0.31734837799717908</v>
      </c>
      <c r="H7" s="2">
        <v>1</v>
      </c>
      <c r="I7" s="14">
        <f>(H7/E7)*60</f>
        <v>0.10578279266572636</v>
      </c>
      <c r="J7" s="2">
        <v>4</v>
      </c>
      <c r="K7" s="2">
        <v>19</v>
      </c>
      <c r="L7" s="2">
        <v>88</v>
      </c>
      <c r="M7" s="2">
        <v>54</v>
      </c>
      <c r="N7" s="2">
        <v>2.89</v>
      </c>
      <c r="O7" s="2">
        <v>7.7</v>
      </c>
      <c r="P7" s="2">
        <f>(O7/E7)*60</f>
        <v>0.81452750352609304</v>
      </c>
      <c r="Q7" s="2">
        <v>1</v>
      </c>
      <c r="R7" s="2">
        <v>0</v>
      </c>
      <c r="S7" s="2">
        <v>1</v>
      </c>
      <c r="T7" s="2">
        <v>0</v>
      </c>
      <c r="U7" s="2">
        <v>20</v>
      </c>
      <c r="V7" s="12">
        <v>8</v>
      </c>
      <c r="W7" s="2">
        <v>28</v>
      </c>
      <c r="X7" s="2">
        <v>9</v>
      </c>
      <c r="Y7" s="2">
        <v>5</v>
      </c>
      <c r="Z7" s="2">
        <f>Y7-X7</f>
        <v>-4</v>
      </c>
      <c r="AA7" s="2">
        <f>(Z7/E7)*60</f>
        <v>-0.42313117066290545</v>
      </c>
      <c r="AB7" s="2">
        <v>81</v>
      </c>
      <c r="AC7" s="2">
        <f>(AB7/E7)*60</f>
        <v>8.5684062059238357</v>
      </c>
      <c r="AD7" s="2">
        <v>136</v>
      </c>
      <c r="AE7" s="2">
        <f>(AD7/E7)*60</f>
        <v>14.386459802538786</v>
      </c>
      <c r="AF7" s="2">
        <v>21.7</v>
      </c>
      <c r="AG7" s="2">
        <v>35</v>
      </c>
      <c r="AH7" s="2">
        <f>AF7-AG7</f>
        <v>-13.3</v>
      </c>
      <c r="AI7" s="2">
        <v>19</v>
      </c>
      <c r="AJ7" s="2">
        <f>(AI7/E7)*60</f>
        <v>2.0098730606488009</v>
      </c>
      <c r="AK7" s="2">
        <v>17</v>
      </c>
      <c r="AL7" s="2">
        <v>17</v>
      </c>
      <c r="AM7" s="2">
        <f>(AL7/E7)*60</f>
        <v>1.7983074753173482</v>
      </c>
      <c r="AN7" s="2" t="s">
        <v>316</v>
      </c>
      <c r="AO7" s="2">
        <v>380</v>
      </c>
      <c r="AP7" s="2">
        <v>189</v>
      </c>
      <c r="AQ7" s="14">
        <f>(AP7/E7)*60</f>
        <v>19.992947813822283</v>
      </c>
    </row>
    <row r="8" spans="1:44" x14ac:dyDescent="0.35">
      <c r="A8" s="5" t="s">
        <v>361</v>
      </c>
      <c r="B8" s="5" t="s">
        <v>78</v>
      </c>
      <c r="C8" s="2" t="s">
        <v>31</v>
      </c>
      <c r="D8" s="2">
        <v>36</v>
      </c>
      <c r="E8" s="3">
        <v>492.96666666666664</v>
      </c>
      <c r="F8" s="2">
        <v>2</v>
      </c>
      <c r="G8" s="14">
        <f>(F8/E8)*60</f>
        <v>0.24342416661031849</v>
      </c>
      <c r="H8" s="2">
        <v>0</v>
      </c>
      <c r="I8" s="14">
        <f>(H8/E8)*60</f>
        <v>0</v>
      </c>
      <c r="J8" s="2">
        <v>2</v>
      </c>
      <c r="K8" s="2">
        <v>7</v>
      </c>
      <c r="L8" s="2">
        <v>50</v>
      </c>
      <c r="M8" s="2">
        <v>26</v>
      </c>
      <c r="N8" s="2">
        <v>1.42</v>
      </c>
      <c r="O8" s="2">
        <v>2.74</v>
      </c>
      <c r="P8" s="2">
        <f>(O8/E8)*60</f>
        <v>0.33349110825613637</v>
      </c>
      <c r="Q8" s="2">
        <v>269</v>
      </c>
      <c r="R8" s="2">
        <v>115</v>
      </c>
      <c r="S8" s="2">
        <v>154</v>
      </c>
      <c r="T8" s="7">
        <v>0.42799999999999999</v>
      </c>
      <c r="U8" s="2">
        <v>20</v>
      </c>
      <c r="V8" s="12">
        <v>5</v>
      </c>
      <c r="W8" s="2">
        <v>25</v>
      </c>
      <c r="X8" s="2">
        <v>3</v>
      </c>
      <c r="Y8" s="2">
        <v>4</v>
      </c>
      <c r="Z8" s="2">
        <f>Y8-X8</f>
        <v>1</v>
      </c>
      <c r="AA8" s="2">
        <f>(Z8/E8)*60</f>
        <v>0.12171208330515924</v>
      </c>
      <c r="AB8" s="2">
        <v>135</v>
      </c>
      <c r="AC8" s="2">
        <f>(AB8/E8)*60</f>
        <v>16.4311312461965</v>
      </c>
      <c r="AD8" s="2">
        <v>117</v>
      </c>
      <c r="AE8" s="2">
        <f>(AD8/E8)*60</f>
        <v>14.240313746703631</v>
      </c>
      <c r="AF8" s="2">
        <v>14</v>
      </c>
      <c r="AG8" s="2">
        <v>29.3</v>
      </c>
      <c r="AH8" s="2">
        <f>AF8-AG8</f>
        <v>-15.3</v>
      </c>
      <c r="AI8" s="2">
        <v>7</v>
      </c>
      <c r="AJ8" s="2">
        <f>(AI8/E8)*60</f>
        <v>0.8519845831361148</v>
      </c>
      <c r="AK8" s="2">
        <v>4</v>
      </c>
      <c r="AL8" s="2">
        <v>8</v>
      </c>
      <c r="AM8" s="2">
        <f>(AL8/E8)*60</f>
        <v>0.97369666644127395</v>
      </c>
      <c r="AN8" s="2" t="s">
        <v>362</v>
      </c>
      <c r="AO8" s="2">
        <v>347</v>
      </c>
      <c r="AP8" s="2">
        <v>161</v>
      </c>
      <c r="AQ8" s="14">
        <f>(AP8/E8)*60</f>
        <v>19.59564541213064</v>
      </c>
    </row>
    <row r="9" spans="1:44" x14ac:dyDescent="0.35">
      <c r="A9" s="5" t="s">
        <v>268</v>
      </c>
      <c r="B9" s="5" t="s">
        <v>60</v>
      </c>
      <c r="C9" s="2" t="s">
        <v>31</v>
      </c>
      <c r="D9" s="2">
        <v>36</v>
      </c>
      <c r="E9" s="3">
        <v>546.98333333333335</v>
      </c>
      <c r="F9" s="2">
        <v>4</v>
      </c>
      <c r="G9" s="14">
        <f>(F9/E9)*60</f>
        <v>0.43877022456503856</v>
      </c>
      <c r="H9" s="2">
        <v>4</v>
      </c>
      <c r="I9" s="14">
        <f>(H9/E9)*60</f>
        <v>0.43877022456503856</v>
      </c>
      <c r="J9" s="2">
        <v>8</v>
      </c>
      <c r="K9" s="2">
        <v>16</v>
      </c>
      <c r="L9" s="2">
        <v>90</v>
      </c>
      <c r="M9" s="2">
        <v>53</v>
      </c>
      <c r="N9" s="2">
        <v>2.31</v>
      </c>
      <c r="O9" s="2">
        <v>6.6</v>
      </c>
      <c r="P9" s="2">
        <f>(O9/E9)*60</f>
        <v>0.72397087053231357</v>
      </c>
      <c r="Q9" s="2">
        <v>212</v>
      </c>
      <c r="R9" s="2">
        <v>88</v>
      </c>
      <c r="S9" s="2">
        <v>124</v>
      </c>
      <c r="T9" s="7">
        <v>0.41499999999999998</v>
      </c>
      <c r="U9" s="2">
        <v>12</v>
      </c>
      <c r="V9" s="12">
        <v>12</v>
      </c>
      <c r="W9" s="2">
        <v>24</v>
      </c>
      <c r="X9" s="2">
        <v>5</v>
      </c>
      <c r="Y9" s="2">
        <v>9</v>
      </c>
      <c r="Z9" s="2">
        <f>Y9-X9</f>
        <v>4</v>
      </c>
      <c r="AA9" s="2">
        <f>(Z9/E9)*60</f>
        <v>0.43877022456503856</v>
      </c>
      <c r="AB9" s="2">
        <v>88</v>
      </c>
      <c r="AC9" s="2">
        <f>(AB9/E9)*60</f>
        <v>9.6529449404308476</v>
      </c>
      <c r="AD9" s="2">
        <v>141</v>
      </c>
      <c r="AE9" s="2">
        <f>(AD9/E9)*60</f>
        <v>15.466650415917609</v>
      </c>
      <c r="AF9" s="2">
        <v>16.8</v>
      </c>
      <c r="AG9" s="2">
        <v>27.8</v>
      </c>
      <c r="AH9" s="2">
        <f>AF9-AG9</f>
        <v>-11</v>
      </c>
      <c r="AI9" s="2">
        <v>16</v>
      </c>
      <c r="AJ9" s="2">
        <f>(AI9/E9)*60</f>
        <v>1.7550808982601542</v>
      </c>
      <c r="AK9" s="2">
        <v>3</v>
      </c>
      <c r="AL9" s="2">
        <v>10</v>
      </c>
      <c r="AM9" s="2">
        <f>(AL9/E9)*60</f>
        <v>1.0969255614125963</v>
      </c>
      <c r="AN9" s="2" t="s">
        <v>194</v>
      </c>
      <c r="AO9" s="2">
        <v>365</v>
      </c>
      <c r="AP9" s="2">
        <v>178</v>
      </c>
      <c r="AQ9" s="14">
        <f>(AP9/E9)*60</f>
        <v>19.525274993144215</v>
      </c>
    </row>
    <row r="10" spans="1:44" x14ac:dyDescent="0.35">
      <c r="A10" s="5" t="s">
        <v>199</v>
      </c>
      <c r="B10" s="5" t="s">
        <v>60</v>
      </c>
      <c r="C10" s="2" t="s">
        <v>39</v>
      </c>
      <c r="D10" s="2">
        <v>36</v>
      </c>
      <c r="E10" s="3">
        <v>702.13333333333333</v>
      </c>
      <c r="F10" s="2">
        <v>1</v>
      </c>
      <c r="G10" s="14">
        <f>(F10/E10)*60</f>
        <v>8.5453854918344091E-2</v>
      </c>
      <c r="H10" s="2">
        <v>7</v>
      </c>
      <c r="I10" s="14">
        <f>(H10/E10)*60</f>
        <v>0.59817698442840872</v>
      </c>
      <c r="J10" s="2">
        <v>8</v>
      </c>
      <c r="K10" s="2">
        <v>3</v>
      </c>
      <c r="L10" s="2">
        <v>139</v>
      </c>
      <c r="M10" s="2">
        <v>69</v>
      </c>
      <c r="N10" s="2">
        <v>1.04</v>
      </c>
      <c r="O10" s="2">
        <v>4.21</v>
      </c>
      <c r="P10" s="2">
        <f>(O10/E10)*60</f>
        <v>0.35976072920622865</v>
      </c>
      <c r="Q10" s="2">
        <v>0</v>
      </c>
      <c r="R10" s="2">
        <v>0</v>
      </c>
      <c r="S10" s="2">
        <v>0</v>
      </c>
      <c r="T10" s="2">
        <v>0</v>
      </c>
      <c r="U10" s="2">
        <v>5</v>
      </c>
      <c r="V10" s="12">
        <v>18</v>
      </c>
      <c r="W10" s="2">
        <v>23</v>
      </c>
      <c r="X10" s="2">
        <v>10</v>
      </c>
      <c r="Y10" s="2">
        <v>5</v>
      </c>
      <c r="Z10" s="2">
        <f>Y10-X10</f>
        <v>-5</v>
      </c>
      <c r="AA10" s="2">
        <f>(Z10/E10)*60</f>
        <v>-0.42726927459172048</v>
      </c>
      <c r="AB10" s="2">
        <v>246</v>
      </c>
      <c r="AC10" s="2">
        <f>(AB10/E10)*60</f>
        <v>21.021648309912646</v>
      </c>
      <c r="AD10" s="2">
        <v>138</v>
      </c>
      <c r="AE10" s="2">
        <f>(AD10/E10)*60</f>
        <v>11.792631978731485</v>
      </c>
      <c r="AF10" s="2">
        <v>25.6</v>
      </c>
      <c r="AG10" s="2">
        <v>35.299999999999997</v>
      </c>
      <c r="AH10" s="2">
        <f>AF10-AG10</f>
        <v>-9.6999999999999957</v>
      </c>
      <c r="AI10" s="2">
        <v>3</v>
      </c>
      <c r="AJ10" s="2">
        <f>(AI10/E10)*60</f>
        <v>0.25636156475503225</v>
      </c>
      <c r="AK10" s="2">
        <v>4</v>
      </c>
      <c r="AL10" s="2">
        <v>9</v>
      </c>
      <c r="AM10" s="2">
        <f>(AL10/E10)*60</f>
        <v>0.76908469426509685</v>
      </c>
      <c r="AN10" s="2" t="s">
        <v>200</v>
      </c>
      <c r="AO10" s="2">
        <v>345</v>
      </c>
      <c r="AP10" s="2">
        <v>221</v>
      </c>
      <c r="AQ10" s="14">
        <f>(AP10/E10)*60</f>
        <v>18.885301936954043</v>
      </c>
    </row>
    <row r="11" spans="1:44" x14ac:dyDescent="0.35">
      <c r="A11" s="5" t="s">
        <v>68</v>
      </c>
      <c r="B11" s="5" t="s">
        <v>53</v>
      </c>
      <c r="C11" s="2" t="s">
        <v>31</v>
      </c>
      <c r="D11" s="2">
        <v>36</v>
      </c>
      <c r="E11" s="3">
        <v>654.1</v>
      </c>
      <c r="F11" s="2">
        <v>8</v>
      </c>
      <c r="G11" s="14">
        <f>(F11/E11)*60</f>
        <v>0.73383274728634762</v>
      </c>
      <c r="H11" s="2">
        <v>17</v>
      </c>
      <c r="I11" s="14">
        <f>(H11/E11)*60</f>
        <v>1.5593945879834887</v>
      </c>
      <c r="J11" s="2">
        <v>25</v>
      </c>
      <c r="K11" s="2">
        <v>36</v>
      </c>
      <c r="L11" s="2">
        <v>179</v>
      </c>
      <c r="M11" s="2">
        <v>97</v>
      </c>
      <c r="N11" s="2">
        <v>2.77</v>
      </c>
      <c r="O11" s="2">
        <v>15.3</v>
      </c>
      <c r="P11" s="2">
        <f>(O11/E11)*60</f>
        <v>1.40345512918514</v>
      </c>
      <c r="Q11" s="2">
        <v>474</v>
      </c>
      <c r="R11" s="2">
        <v>251</v>
      </c>
      <c r="S11" s="2">
        <v>223</v>
      </c>
      <c r="T11" s="8">
        <v>0.53</v>
      </c>
      <c r="U11" s="2">
        <v>9</v>
      </c>
      <c r="V11" s="12">
        <v>33</v>
      </c>
      <c r="W11" s="2">
        <v>24</v>
      </c>
      <c r="X11" s="2">
        <v>16</v>
      </c>
      <c r="Y11" s="2">
        <v>10</v>
      </c>
      <c r="Z11" s="2">
        <f>Y11-X11</f>
        <v>-6</v>
      </c>
      <c r="AA11" s="2">
        <f>(Z11/E11)*60</f>
        <v>-0.55037456046476074</v>
      </c>
      <c r="AB11" s="2">
        <v>119</v>
      </c>
      <c r="AC11" s="2">
        <f>(AB11/E11)*60</f>
        <v>10.915762115884421</v>
      </c>
      <c r="AD11" s="2">
        <v>143</v>
      </c>
      <c r="AE11" s="2">
        <f>(AD11/E11)*60</f>
        <v>13.117260357743463</v>
      </c>
      <c r="AF11" s="2">
        <v>44.7</v>
      </c>
      <c r="AG11" s="2">
        <v>31.8</v>
      </c>
      <c r="AH11" s="2">
        <f>AF11-AG11</f>
        <v>12.900000000000002</v>
      </c>
      <c r="AI11" s="2">
        <v>36</v>
      </c>
      <c r="AJ11" s="2">
        <f>(AI11/E11)*60</f>
        <v>3.3022473627885645</v>
      </c>
      <c r="AK11" s="2">
        <v>19</v>
      </c>
      <c r="AL11" s="2">
        <v>38</v>
      </c>
      <c r="AM11" s="2">
        <f>(AL11/E11)*60</f>
        <v>3.485705549610151</v>
      </c>
      <c r="AN11" s="2" t="s">
        <v>69</v>
      </c>
      <c r="AO11" s="2">
        <v>399</v>
      </c>
      <c r="AP11" s="2">
        <v>204</v>
      </c>
      <c r="AQ11" s="14">
        <f>(AP11/E11)*60</f>
        <v>18.712735055801865</v>
      </c>
    </row>
    <row r="12" spans="1:44" x14ac:dyDescent="0.35">
      <c r="A12" s="5" t="s">
        <v>269</v>
      </c>
      <c r="B12" s="5" t="s">
        <v>105</v>
      </c>
      <c r="C12" s="2" t="s">
        <v>31</v>
      </c>
      <c r="D12" s="2">
        <v>36</v>
      </c>
      <c r="E12" s="3">
        <v>536.98333333333335</v>
      </c>
      <c r="F12" s="2">
        <v>4</v>
      </c>
      <c r="G12" s="14">
        <f>(F12/E12)*60</f>
        <v>0.44694124584872275</v>
      </c>
      <c r="H12" s="2">
        <v>1</v>
      </c>
      <c r="I12" s="14">
        <f>(H12/E12)*60</f>
        <v>0.11173531146218069</v>
      </c>
      <c r="J12" s="2">
        <v>5</v>
      </c>
      <c r="K12" s="2">
        <v>13</v>
      </c>
      <c r="L12" s="2">
        <v>86</v>
      </c>
      <c r="M12" s="2">
        <v>56</v>
      </c>
      <c r="N12" s="2">
        <v>2.5499999999999998</v>
      </c>
      <c r="O12" s="2">
        <v>7.1</v>
      </c>
      <c r="P12" s="2">
        <f>(O12/E12)*60</f>
        <v>0.79332071138148297</v>
      </c>
      <c r="Q12" s="2">
        <v>392</v>
      </c>
      <c r="R12" s="2">
        <v>231</v>
      </c>
      <c r="S12" s="2">
        <v>161</v>
      </c>
      <c r="T12" s="7">
        <v>0.58899999999999997</v>
      </c>
      <c r="U12" s="2">
        <v>10</v>
      </c>
      <c r="V12" s="12">
        <v>12</v>
      </c>
      <c r="W12" s="2">
        <v>22</v>
      </c>
      <c r="X12" s="2">
        <v>3</v>
      </c>
      <c r="Y12" s="2">
        <v>7</v>
      </c>
      <c r="Z12" s="2">
        <f>Y12-X12</f>
        <v>4</v>
      </c>
      <c r="AA12" s="2">
        <f>(Z12/E12)*60</f>
        <v>0.44694124584872275</v>
      </c>
      <c r="AB12" s="2">
        <v>113</v>
      </c>
      <c r="AC12" s="2">
        <f>(AB12/E12)*60</f>
        <v>12.62609019522642</v>
      </c>
      <c r="AD12" s="2">
        <v>154</v>
      </c>
      <c r="AE12" s="2">
        <f>(AD12/E12)*60</f>
        <v>17.207237965175828</v>
      </c>
      <c r="AF12" s="2">
        <v>21.4</v>
      </c>
      <c r="AG12" s="2">
        <v>38.4</v>
      </c>
      <c r="AH12" s="2">
        <f>AF12-AG12</f>
        <v>-17</v>
      </c>
      <c r="AI12" s="2">
        <v>13</v>
      </c>
      <c r="AJ12" s="2">
        <f>(AI12/E12)*60</f>
        <v>1.4525590490083491</v>
      </c>
      <c r="AK12" s="2">
        <v>7</v>
      </c>
      <c r="AL12" s="2">
        <v>11</v>
      </c>
      <c r="AM12" s="2">
        <f>(AL12/E12)*60</f>
        <v>1.2290884260839878</v>
      </c>
      <c r="AN12" s="2" t="s">
        <v>270</v>
      </c>
      <c r="AO12" s="2">
        <v>320</v>
      </c>
      <c r="AP12" s="2">
        <v>164</v>
      </c>
      <c r="AQ12" s="14">
        <f>(AP12/E12)*60</f>
        <v>18.324591079797635</v>
      </c>
    </row>
    <row r="13" spans="1:44" x14ac:dyDescent="0.35">
      <c r="A13" s="5" t="s">
        <v>77</v>
      </c>
      <c r="B13" s="5" t="s">
        <v>78</v>
      </c>
      <c r="C13" s="2" t="s">
        <v>39</v>
      </c>
      <c r="D13" s="2">
        <v>36</v>
      </c>
      <c r="E13" s="3">
        <v>798.2833333333333</v>
      </c>
      <c r="F13" s="2">
        <v>2</v>
      </c>
      <c r="G13" s="14">
        <f>(F13/E13)*60</f>
        <v>0.15032256717539721</v>
      </c>
      <c r="H13" s="2">
        <v>9</v>
      </c>
      <c r="I13" s="14">
        <f>(H13/E13)*60</f>
        <v>0.67645155228928744</v>
      </c>
      <c r="J13" s="2">
        <v>11</v>
      </c>
      <c r="K13" s="2">
        <v>4</v>
      </c>
      <c r="L13" s="2">
        <v>132</v>
      </c>
      <c r="M13" s="2">
        <v>59</v>
      </c>
      <c r="N13" s="2">
        <v>1.54</v>
      </c>
      <c r="O13" s="2">
        <v>6.1</v>
      </c>
      <c r="P13" s="2">
        <f>(O13/E13)*60</f>
        <v>0.45848382988496145</v>
      </c>
      <c r="Q13" s="2">
        <v>0</v>
      </c>
      <c r="R13" s="2">
        <v>0</v>
      </c>
      <c r="S13" s="2">
        <v>0</v>
      </c>
      <c r="T13" s="2">
        <v>0</v>
      </c>
      <c r="U13" s="2">
        <v>5</v>
      </c>
      <c r="V13" s="12">
        <v>30</v>
      </c>
      <c r="W13" s="2">
        <v>35</v>
      </c>
      <c r="X13" s="2">
        <v>3</v>
      </c>
      <c r="Y13" s="2">
        <v>2</v>
      </c>
      <c r="Z13" s="2">
        <f>Y13-X13</f>
        <v>-1</v>
      </c>
      <c r="AA13" s="2">
        <f>(Z13/E13)*60</f>
        <v>-7.5161283587698607E-2</v>
      </c>
      <c r="AB13" s="2">
        <v>261</v>
      </c>
      <c r="AC13" s="2">
        <f>(AB13/E13)*60</f>
        <v>19.617095016389339</v>
      </c>
      <c r="AD13" s="2">
        <v>216</v>
      </c>
      <c r="AE13" s="2">
        <f>(AD13/E13)*60</f>
        <v>16.234837254942899</v>
      </c>
      <c r="AF13" s="2">
        <v>37.299999999999997</v>
      </c>
      <c r="AG13" s="2">
        <v>43.2</v>
      </c>
      <c r="AH13" s="2">
        <f>AF13-AG13</f>
        <v>-5.9000000000000057</v>
      </c>
      <c r="AI13" s="2">
        <v>4</v>
      </c>
      <c r="AJ13" s="2">
        <f>(AI13/E13)*60</f>
        <v>0.30064513435079443</v>
      </c>
      <c r="AK13" s="2">
        <v>9</v>
      </c>
      <c r="AL13" s="2">
        <v>22</v>
      </c>
      <c r="AM13" s="2">
        <f>(AL13/E13)*60</f>
        <v>1.6535482389293694</v>
      </c>
      <c r="AN13" s="2" t="s">
        <v>79</v>
      </c>
      <c r="AO13" s="2">
        <v>423</v>
      </c>
      <c r="AP13" s="2">
        <v>242</v>
      </c>
      <c r="AQ13" s="14">
        <f>(AP13/E13)*60</f>
        <v>18.189030628223062</v>
      </c>
    </row>
    <row r="14" spans="1:44" x14ac:dyDescent="0.35">
      <c r="A14" s="5" t="s">
        <v>84</v>
      </c>
      <c r="B14" s="5" t="s">
        <v>34</v>
      </c>
      <c r="C14" s="2" t="s">
        <v>39</v>
      </c>
      <c r="D14" s="2">
        <v>36</v>
      </c>
      <c r="E14" s="3">
        <v>665.95</v>
      </c>
      <c r="F14" s="2">
        <v>3</v>
      </c>
      <c r="G14" s="14">
        <f>(F14/E14)*60</f>
        <v>0.27029056235453108</v>
      </c>
      <c r="H14" s="2">
        <v>9</v>
      </c>
      <c r="I14" s="14">
        <f>(H14/E14)*60</f>
        <v>0.81087168706359336</v>
      </c>
      <c r="J14" s="2">
        <v>12</v>
      </c>
      <c r="K14" s="2">
        <v>5</v>
      </c>
      <c r="L14" s="2">
        <v>132</v>
      </c>
      <c r="M14" s="2">
        <v>69</v>
      </c>
      <c r="N14" s="2">
        <v>1.18</v>
      </c>
      <c r="O14" s="2">
        <v>4.25</v>
      </c>
      <c r="P14" s="2">
        <f>(O14/E14)*60</f>
        <v>0.38291163000225237</v>
      </c>
      <c r="Q14" s="2">
        <v>0</v>
      </c>
      <c r="R14" s="2">
        <v>0</v>
      </c>
      <c r="S14" s="2">
        <v>0</v>
      </c>
      <c r="T14" s="2">
        <v>0</v>
      </c>
      <c r="U14" s="2">
        <v>4</v>
      </c>
      <c r="V14" s="12">
        <v>29</v>
      </c>
      <c r="W14" s="2">
        <v>25</v>
      </c>
      <c r="X14" s="2">
        <v>9</v>
      </c>
      <c r="Y14" s="2">
        <v>11</v>
      </c>
      <c r="Z14" s="2">
        <f>Y14-X14</f>
        <v>2</v>
      </c>
      <c r="AA14" s="2">
        <f>(Z14/E14)*60</f>
        <v>0.18019370823635408</v>
      </c>
      <c r="AB14" s="2">
        <v>234</v>
      </c>
      <c r="AC14" s="2">
        <f>(AB14/E14)*60</f>
        <v>21.082663863653426</v>
      </c>
      <c r="AD14" s="2">
        <v>140</v>
      </c>
      <c r="AE14" s="2">
        <f>(AD14/E14)*60</f>
        <v>12.613559576544786</v>
      </c>
      <c r="AF14" s="2">
        <v>36</v>
      </c>
      <c r="AG14" s="2">
        <v>26.8</v>
      </c>
      <c r="AH14" s="2">
        <f>AF14-AG14</f>
        <v>9.1999999999999993</v>
      </c>
      <c r="AI14" s="2">
        <v>5</v>
      </c>
      <c r="AJ14" s="2">
        <f>(AI14/E14)*60</f>
        <v>0.45048427059088519</v>
      </c>
      <c r="AK14" s="2">
        <v>6</v>
      </c>
      <c r="AL14" s="2">
        <v>23</v>
      </c>
      <c r="AM14" s="2">
        <f>(AL14/E14)*60</f>
        <v>2.0722276447180716</v>
      </c>
      <c r="AN14" s="2" t="s">
        <v>85</v>
      </c>
      <c r="AO14" s="2">
        <v>338</v>
      </c>
      <c r="AP14" s="2">
        <v>200</v>
      </c>
      <c r="AQ14" s="14">
        <f>(AP14/E14)*60</f>
        <v>18.019370823635406</v>
      </c>
    </row>
    <row r="15" spans="1:44" x14ac:dyDescent="0.35">
      <c r="A15" s="5" t="s">
        <v>73</v>
      </c>
      <c r="B15" s="5" t="s">
        <v>46</v>
      </c>
      <c r="C15" s="2" t="s">
        <v>31</v>
      </c>
      <c r="D15" s="2">
        <v>36</v>
      </c>
      <c r="E15" s="3">
        <v>601.41666666666663</v>
      </c>
      <c r="F15" s="2">
        <v>8</v>
      </c>
      <c r="G15" s="14">
        <f>(F15/E15)*60</f>
        <v>0.79811556048219479</v>
      </c>
      <c r="H15" s="2">
        <v>17</v>
      </c>
      <c r="I15" s="14">
        <f>(H15/E15)*60</f>
        <v>1.6959955660246642</v>
      </c>
      <c r="J15" s="2">
        <v>25</v>
      </c>
      <c r="K15" s="2">
        <v>23</v>
      </c>
      <c r="L15" s="2">
        <v>126</v>
      </c>
      <c r="M15" s="2">
        <v>78</v>
      </c>
      <c r="N15" s="2">
        <v>2.33</v>
      </c>
      <c r="O15" s="2">
        <v>9.6999999999999993</v>
      </c>
      <c r="P15" s="2">
        <f>(O15/E15)*60</f>
        <v>0.96771511708466118</v>
      </c>
      <c r="Q15" s="2">
        <v>377</v>
      </c>
      <c r="R15" s="2">
        <v>184</v>
      </c>
      <c r="S15" s="2">
        <v>193</v>
      </c>
      <c r="T15" s="7">
        <v>0.48799999999999999</v>
      </c>
      <c r="U15" s="2">
        <v>19</v>
      </c>
      <c r="V15" s="12">
        <v>31</v>
      </c>
      <c r="W15" s="2">
        <v>12</v>
      </c>
      <c r="X15" s="2">
        <v>5</v>
      </c>
      <c r="Y15" s="2">
        <v>5</v>
      </c>
      <c r="Z15" s="2">
        <f>Y15-X15</f>
        <v>0</v>
      </c>
      <c r="AA15" s="2">
        <f>(Z15/E15)*60</f>
        <v>0</v>
      </c>
      <c r="AB15" s="2">
        <v>122</v>
      </c>
      <c r="AC15" s="2">
        <f>(AB15/E15)*60</f>
        <v>12.171262297353472</v>
      </c>
      <c r="AD15" s="2">
        <v>113</v>
      </c>
      <c r="AE15" s="2">
        <f>(AD15/E15)*60</f>
        <v>11.273382291811004</v>
      </c>
      <c r="AF15" s="2">
        <v>41.3</v>
      </c>
      <c r="AG15" s="2">
        <v>32.9</v>
      </c>
      <c r="AH15" s="2">
        <f>AF15-AG15</f>
        <v>8.3999999999999986</v>
      </c>
      <c r="AI15" s="2">
        <v>23</v>
      </c>
      <c r="AJ15" s="2">
        <f>(AI15/E15)*60</f>
        <v>2.2945822363863102</v>
      </c>
      <c r="AK15" s="2">
        <v>20</v>
      </c>
      <c r="AL15" s="2">
        <v>33</v>
      </c>
      <c r="AM15" s="2">
        <f>(AL15/E15)*60</f>
        <v>3.2922266869890535</v>
      </c>
      <c r="AN15" s="2" t="s">
        <v>74</v>
      </c>
      <c r="AO15" s="2">
        <v>361</v>
      </c>
      <c r="AP15" s="2">
        <v>178</v>
      </c>
      <c r="AQ15" s="14">
        <f>(AP15/E15)*60</f>
        <v>17.758071220728837</v>
      </c>
    </row>
    <row r="16" spans="1:44" x14ac:dyDescent="0.35">
      <c r="A16" s="5" t="s">
        <v>88</v>
      </c>
      <c r="B16" s="5" t="s">
        <v>71</v>
      </c>
      <c r="C16" s="2" t="s">
        <v>31</v>
      </c>
      <c r="D16" s="2">
        <v>36</v>
      </c>
      <c r="E16" s="3">
        <v>547.85</v>
      </c>
      <c r="F16" s="2">
        <v>5</v>
      </c>
      <c r="G16" s="14">
        <f>(F16/E16)*60</f>
        <v>0.54759514465638404</v>
      </c>
      <c r="H16" s="2">
        <v>13</v>
      </c>
      <c r="I16" s="14">
        <f>(H16/E16)*60</f>
        <v>1.4237473761065984</v>
      </c>
      <c r="J16" s="2">
        <v>18</v>
      </c>
      <c r="K16" s="2">
        <v>28</v>
      </c>
      <c r="L16" s="2">
        <v>88</v>
      </c>
      <c r="M16" s="2">
        <v>53</v>
      </c>
      <c r="N16" s="2">
        <v>2.96</v>
      </c>
      <c r="O16" s="2">
        <v>8.5</v>
      </c>
      <c r="P16" s="2">
        <f>(O16/E16)*60</f>
        <v>0.9309117459158528</v>
      </c>
      <c r="Q16" s="2">
        <v>401</v>
      </c>
      <c r="R16" s="2">
        <v>180</v>
      </c>
      <c r="S16" s="2">
        <v>221</v>
      </c>
      <c r="T16" s="7">
        <v>0.44900000000000001</v>
      </c>
      <c r="U16" s="2">
        <v>10</v>
      </c>
      <c r="V16" s="12">
        <v>28</v>
      </c>
      <c r="W16" s="2">
        <v>18</v>
      </c>
      <c r="X16" s="2">
        <v>3</v>
      </c>
      <c r="Y16" s="2">
        <v>5</v>
      </c>
      <c r="Z16" s="2">
        <f>Y16-X16</f>
        <v>2</v>
      </c>
      <c r="AA16" s="2">
        <f>(Z16/E16)*60</f>
        <v>0.21903805786255362</v>
      </c>
      <c r="AB16" s="2">
        <v>106</v>
      </c>
      <c r="AC16" s="2">
        <f>(AB16/E16)*60</f>
        <v>11.609017066715342</v>
      </c>
      <c r="AD16" s="2">
        <v>114</v>
      </c>
      <c r="AE16" s="2">
        <f>(AD16/E16)*60</f>
        <v>12.485169298165555</v>
      </c>
      <c r="AF16" s="2">
        <v>27.2</v>
      </c>
      <c r="AG16" s="2">
        <v>30.5</v>
      </c>
      <c r="AH16" s="2">
        <f>AF16-AG16</f>
        <v>-3.3000000000000007</v>
      </c>
      <c r="AI16" s="2">
        <v>28</v>
      </c>
      <c r="AJ16" s="2">
        <f>(AI16/E16)*60</f>
        <v>3.0665328100757505</v>
      </c>
      <c r="AK16" s="2">
        <v>7</v>
      </c>
      <c r="AL16" s="2">
        <v>10</v>
      </c>
      <c r="AM16" s="2">
        <f>(AL16/E16)*60</f>
        <v>1.0951902893127681</v>
      </c>
      <c r="AN16" s="2" t="s">
        <v>89</v>
      </c>
      <c r="AO16" s="2">
        <v>307</v>
      </c>
      <c r="AP16" s="2">
        <v>160</v>
      </c>
      <c r="AQ16" s="14">
        <f>(AP16/E16)*60</f>
        <v>17.523044629004289</v>
      </c>
    </row>
    <row r="17" spans="1:43" x14ac:dyDescent="0.35">
      <c r="A17" s="5" t="s">
        <v>197</v>
      </c>
      <c r="B17" s="5" t="s">
        <v>34</v>
      </c>
      <c r="C17" s="2" t="s">
        <v>39</v>
      </c>
      <c r="D17" s="2">
        <v>36</v>
      </c>
      <c r="E17" s="3">
        <v>530.26666666666665</v>
      </c>
      <c r="F17" s="2">
        <v>4</v>
      </c>
      <c r="G17" s="14">
        <f>(F17/E17)*60</f>
        <v>0.4526024641689716</v>
      </c>
      <c r="H17" s="2">
        <v>3</v>
      </c>
      <c r="I17" s="14">
        <f>(H17/E17)*60</f>
        <v>0.33945184812672868</v>
      </c>
      <c r="J17" s="2">
        <v>7</v>
      </c>
      <c r="K17" s="2">
        <v>0</v>
      </c>
      <c r="L17" s="2">
        <v>97</v>
      </c>
      <c r="M17" s="2">
        <v>35</v>
      </c>
      <c r="N17" s="2">
        <v>0.67</v>
      </c>
      <c r="O17" s="2">
        <v>1.81</v>
      </c>
      <c r="P17" s="2">
        <f>(O17/E17)*60</f>
        <v>0.20480261503645966</v>
      </c>
      <c r="Q17" s="2">
        <v>19</v>
      </c>
      <c r="R17" s="2">
        <v>7</v>
      </c>
      <c r="S17" s="2">
        <v>12</v>
      </c>
      <c r="T17" s="7">
        <v>0.36799999999999999</v>
      </c>
      <c r="U17" s="2">
        <v>0</v>
      </c>
      <c r="V17" s="12">
        <v>18</v>
      </c>
      <c r="W17" s="2">
        <v>18</v>
      </c>
      <c r="X17" s="2">
        <v>7</v>
      </c>
      <c r="Y17" s="2">
        <v>1</v>
      </c>
      <c r="Z17" s="2">
        <f>Y17-X17</f>
        <v>-6</v>
      </c>
      <c r="AA17" s="2">
        <f>(Z17/E17)*60</f>
        <v>-0.67890369625345737</v>
      </c>
      <c r="AB17" s="2">
        <v>170</v>
      </c>
      <c r="AC17" s="2">
        <f>(AB17/E17)*60</f>
        <v>19.235604727181293</v>
      </c>
      <c r="AD17" s="2">
        <v>147</v>
      </c>
      <c r="AE17" s="2">
        <f>(AD17/E17)*60</f>
        <v>16.633140558209703</v>
      </c>
      <c r="AF17" s="2">
        <v>19.899999999999999</v>
      </c>
      <c r="AG17" s="2">
        <v>25.5</v>
      </c>
      <c r="AH17" s="2">
        <f>AF17-AG17</f>
        <v>-5.6000000000000014</v>
      </c>
      <c r="AI17" s="2">
        <v>0</v>
      </c>
      <c r="AJ17" s="2">
        <f>(AI17/E17)*60</f>
        <v>0</v>
      </c>
      <c r="AK17" s="2">
        <v>3</v>
      </c>
      <c r="AL17" s="2">
        <v>6</v>
      </c>
      <c r="AM17" s="2">
        <f>(AL17/E17)*60</f>
        <v>0.67890369625345737</v>
      </c>
      <c r="AN17" s="2" t="s">
        <v>198</v>
      </c>
      <c r="AO17" s="2">
        <v>310</v>
      </c>
      <c r="AP17" s="2">
        <v>154</v>
      </c>
      <c r="AQ17" s="14">
        <f>(AP17/E17)*60</f>
        <v>17.425194870505404</v>
      </c>
    </row>
    <row r="18" spans="1:43" x14ac:dyDescent="0.35">
      <c r="A18" s="5" t="s">
        <v>59</v>
      </c>
      <c r="B18" s="5" t="s">
        <v>60</v>
      </c>
      <c r="C18" s="2" t="s">
        <v>31</v>
      </c>
      <c r="D18" s="2">
        <v>36</v>
      </c>
      <c r="E18" s="3">
        <v>686.65</v>
      </c>
      <c r="F18" s="2">
        <v>11</v>
      </c>
      <c r="G18" s="14">
        <f>(F18/E18)*60</f>
        <v>0.96118837835869797</v>
      </c>
      <c r="H18" s="2">
        <v>11</v>
      </c>
      <c r="I18" s="14">
        <f>(H18/E18)*60</f>
        <v>0.96118837835869797</v>
      </c>
      <c r="J18" s="2">
        <v>22</v>
      </c>
      <c r="K18" s="2">
        <v>32</v>
      </c>
      <c r="L18" s="2">
        <v>169</v>
      </c>
      <c r="M18" s="2">
        <v>101</v>
      </c>
      <c r="N18" s="2">
        <v>2.98</v>
      </c>
      <c r="O18" s="2">
        <v>14.8</v>
      </c>
      <c r="P18" s="2">
        <f>(O18/E18)*60</f>
        <v>1.2932352727007939</v>
      </c>
      <c r="Q18" s="2">
        <v>518</v>
      </c>
      <c r="R18" s="2">
        <v>269</v>
      </c>
      <c r="S18" s="2">
        <v>249</v>
      </c>
      <c r="T18" s="7">
        <v>0.51900000000000002</v>
      </c>
      <c r="U18" s="2">
        <v>4</v>
      </c>
      <c r="V18" s="12">
        <v>34</v>
      </c>
      <c r="W18" s="2">
        <v>30</v>
      </c>
      <c r="X18" s="2">
        <v>2</v>
      </c>
      <c r="Y18" s="2">
        <v>3</v>
      </c>
      <c r="Z18" s="2">
        <f>Y18-X18</f>
        <v>1</v>
      </c>
      <c r="AA18" s="2">
        <f>(Z18/E18)*60</f>
        <v>8.7380761668972559E-2</v>
      </c>
      <c r="AB18" s="2">
        <v>148</v>
      </c>
      <c r="AC18" s="2">
        <f>(AB18/E18)*60</f>
        <v>12.932352727007938</v>
      </c>
      <c r="AD18" s="2">
        <v>142</v>
      </c>
      <c r="AE18" s="2">
        <f>(AD18/E18)*60</f>
        <v>12.408068156994103</v>
      </c>
      <c r="AF18" s="2">
        <v>33.1</v>
      </c>
      <c r="AG18" s="2">
        <v>35.4</v>
      </c>
      <c r="AH18" s="2">
        <f>AF18-AG18</f>
        <v>-2.2999999999999972</v>
      </c>
      <c r="AI18" s="2">
        <v>32</v>
      </c>
      <c r="AJ18" s="2">
        <f>(AI18/E18)*60</f>
        <v>2.7961843734071219</v>
      </c>
      <c r="AK18" s="2">
        <v>10</v>
      </c>
      <c r="AL18" s="2">
        <v>15</v>
      </c>
      <c r="AM18" s="2">
        <f>(AL18/E18)*60</f>
        <v>1.3107114250345882</v>
      </c>
      <c r="AN18" s="2" t="s">
        <v>61</v>
      </c>
      <c r="AO18" s="2">
        <v>359</v>
      </c>
      <c r="AP18" s="2">
        <v>198</v>
      </c>
      <c r="AQ18" s="14">
        <f>(AP18/E18)*60</f>
        <v>17.301390810456567</v>
      </c>
    </row>
    <row r="19" spans="1:43" x14ac:dyDescent="0.35">
      <c r="A19" s="5" t="s">
        <v>201</v>
      </c>
      <c r="B19" s="5" t="s">
        <v>30</v>
      </c>
      <c r="C19" s="2" t="s">
        <v>31</v>
      </c>
      <c r="D19" s="2">
        <v>36</v>
      </c>
      <c r="E19" s="3">
        <v>550.29999999999995</v>
      </c>
      <c r="F19" s="2">
        <v>0</v>
      </c>
      <c r="G19" s="14">
        <f>(F19/E19)*60</f>
        <v>0</v>
      </c>
      <c r="H19" s="2">
        <v>8</v>
      </c>
      <c r="I19" s="14">
        <f>(H19/E19)*60</f>
        <v>0.8722514991822643</v>
      </c>
      <c r="J19" s="2">
        <v>8</v>
      </c>
      <c r="K19" s="2">
        <v>14</v>
      </c>
      <c r="L19" s="2">
        <v>72</v>
      </c>
      <c r="M19" s="2">
        <v>35</v>
      </c>
      <c r="N19" s="2">
        <v>2.69</v>
      </c>
      <c r="O19" s="2">
        <v>6</v>
      </c>
      <c r="P19" s="2">
        <f>(O19/E19)*60</f>
        <v>0.65418862438669823</v>
      </c>
      <c r="Q19" s="2">
        <v>106</v>
      </c>
      <c r="R19" s="2">
        <v>53</v>
      </c>
      <c r="S19" s="2">
        <v>53</v>
      </c>
      <c r="T19" s="8">
        <v>0.5</v>
      </c>
      <c r="U19" s="2">
        <v>8</v>
      </c>
      <c r="V19" s="12">
        <v>18</v>
      </c>
      <c r="W19" s="2">
        <v>10</v>
      </c>
      <c r="X19" s="2">
        <v>7</v>
      </c>
      <c r="Y19" s="2">
        <v>6</v>
      </c>
      <c r="Z19" s="2">
        <f>Y19-X19</f>
        <v>-1</v>
      </c>
      <c r="AA19" s="2">
        <f>(Z19/E19)*60</f>
        <v>-0.10903143739778304</v>
      </c>
      <c r="AB19" s="2">
        <v>79</v>
      </c>
      <c r="AC19" s="2">
        <f>(AB19/E19)*60</f>
        <v>8.6134835544248602</v>
      </c>
      <c r="AD19" s="2">
        <v>143</v>
      </c>
      <c r="AE19" s="2">
        <f>(AD19/E19)*60</f>
        <v>15.591495547882973</v>
      </c>
      <c r="AF19" s="2">
        <v>28.3</v>
      </c>
      <c r="AG19" s="2">
        <v>22.2</v>
      </c>
      <c r="AH19" s="2">
        <f>AF19-AG19</f>
        <v>6.1000000000000014</v>
      </c>
      <c r="AI19" s="2">
        <v>14</v>
      </c>
      <c r="AJ19" s="2">
        <f>(AI19/E19)*60</f>
        <v>1.5264401235689626</v>
      </c>
      <c r="AK19" s="2">
        <v>6</v>
      </c>
      <c r="AL19" s="2">
        <v>16</v>
      </c>
      <c r="AM19" s="2">
        <f>(AL19/E19)*60</f>
        <v>1.7445029983645286</v>
      </c>
      <c r="AN19" s="2" t="s">
        <v>202</v>
      </c>
      <c r="AO19" s="2">
        <v>329</v>
      </c>
      <c r="AP19" s="2">
        <v>157</v>
      </c>
      <c r="AQ19" s="14">
        <f>(AP19/E19)*60</f>
        <v>17.117935671451939</v>
      </c>
    </row>
    <row r="20" spans="1:43" x14ac:dyDescent="0.35">
      <c r="A20" s="5" t="s">
        <v>175</v>
      </c>
      <c r="B20" s="5" t="s">
        <v>60</v>
      </c>
      <c r="C20" s="2" t="s">
        <v>39</v>
      </c>
      <c r="D20" s="2">
        <v>36</v>
      </c>
      <c r="E20" s="3">
        <v>546.01666666666665</v>
      </c>
      <c r="F20" s="2">
        <v>4</v>
      </c>
      <c r="G20" s="14">
        <f>(F20/E20)*60</f>
        <v>0.43954702237416443</v>
      </c>
      <c r="H20" s="2">
        <v>3</v>
      </c>
      <c r="I20" s="14">
        <f>(H20/E20)*60</f>
        <v>0.32966026678062327</v>
      </c>
      <c r="J20" s="2">
        <v>7</v>
      </c>
      <c r="K20" s="2">
        <v>2</v>
      </c>
      <c r="L20" s="2">
        <v>41</v>
      </c>
      <c r="M20" s="2">
        <v>15</v>
      </c>
      <c r="N20" s="2">
        <v>0.79</v>
      </c>
      <c r="O20" s="2">
        <v>1.35</v>
      </c>
      <c r="P20" s="2">
        <f>(O20/E20)*60</f>
        <v>0.14834712005128048</v>
      </c>
      <c r="Q20" s="2">
        <v>2</v>
      </c>
      <c r="R20" s="2">
        <v>1</v>
      </c>
      <c r="S20" s="2">
        <v>1</v>
      </c>
      <c r="T20" s="8">
        <v>0.5</v>
      </c>
      <c r="U20" s="2">
        <v>1</v>
      </c>
      <c r="V20" s="12">
        <v>19</v>
      </c>
      <c r="W20" s="2">
        <v>18</v>
      </c>
      <c r="X20" s="2">
        <v>5</v>
      </c>
      <c r="Y20" s="2">
        <v>1</v>
      </c>
      <c r="Z20" s="2">
        <f>Y20-X20</f>
        <v>-4</v>
      </c>
      <c r="AA20" s="2">
        <f>(Z20/E20)*60</f>
        <v>-0.43954702237416443</v>
      </c>
      <c r="AB20" s="2">
        <v>126</v>
      </c>
      <c r="AC20" s="2">
        <f>(AB20/E20)*60</f>
        <v>13.845731204786178</v>
      </c>
      <c r="AD20" s="2">
        <v>86</v>
      </c>
      <c r="AE20" s="2">
        <f>(AD20/E20)*60</f>
        <v>9.4502609810445346</v>
      </c>
      <c r="AF20" s="2">
        <v>21.8</v>
      </c>
      <c r="AG20" s="2">
        <v>28.4</v>
      </c>
      <c r="AH20" s="2">
        <f>AF20-AG20</f>
        <v>-6.5999999999999979</v>
      </c>
      <c r="AI20" s="2">
        <v>2</v>
      </c>
      <c r="AJ20" s="2">
        <f>(AI20/E20)*60</f>
        <v>0.21977351118708222</v>
      </c>
      <c r="AK20" s="2">
        <v>1</v>
      </c>
      <c r="AL20" s="2">
        <v>9</v>
      </c>
      <c r="AM20" s="2">
        <f>(AL20/E20)*60</f>
        <v>0.98898080034186997</v>
      </c>
      <c r="AN20" s="2" t="s">
        <v>176</v>
      </c>
      <c r="AO20" s="2">
        <v>274</v>
      </c>
      <c r="AP20" s="2">
        <v>155</v>
      </c>
      <c r="AQ20" s="14">
        <f>(AP20/E20)*60</f>
        <v>17.03244711699887</v>
      </c>
    </row>
    <row r="21" spans="1:43" x14ac:dyDescent="0.35">
      <c r="A21" s="5" t="s">
        <v>159</v>
      </c>
      <c r="B21" s="5" t="s">
        <v>122</v>
      </c>
      <c r="C21" s="2" t="s">
        <v>39</v>
      </c>
      <c r="D21" s="2">
        <v>36</v>
      </c>
      <c r="E21" s="3">
        <v>636.4</v>
      </c>
      <c r="F21" s="2">
        <v>1</v>
      </c>
      <c r="G21" s="14">
        <f>(F21/E21)*60</f>
        <v>9.4280326838466377E-2</v>
      </c>
      <c r="H21" s="2">
        <v>10</v>
      </c>
      <c r="I21" s="14">
        <f>(H21/E21)*60</f>
        <v>0.94280326838466366</v>
      </c>
      <c r="J21" s="2">
        <v>11</v>
      </c>
      <c r="K21" s="2">
        <v>8</v>
      </c>
      <c r="L21" s="2">
        <v>129</v>
      </c>
      <c r="M21" s="2">
        <v>61</v>
      </c>
      <c r="N21" s="2">
        <v>1.3</v>
      </c>
      <c r="O21" s="2">
        <v>5.4</v>
      </c>
      <c r="P21" s="2">
        <f>(O21/E21)*60</f>
        <v>0.50911376492771843</v>
      </c>
      <c r="Q21" s="2">
        <v>0</v>
      </c>
      <c r="R21" s="2">
        <v>0</v>
      </c>
      <c r="S21" s="2">
        <v>0</v>
      </c>
      <c r="T21" s="2">
        <v>0</v>
      </c>
      <c r="U21" s="2">
        <v>6</v>
      </c>
      <c r="V21" s="12">
        <v>21</v>
      </c>
      <c r="W21" s="2">
        <v>27</v>
      </c>
      <c r="X21" s="2">
        <v>11</v>
      </c>
      <c r="Y21" s="2">
        <v>10</v>
      </c>
      <c r="Z21" s="2">
        <f>Y21-X21</f>
        <v>-1</v>
      </c>
      <c r="AA21" s="2">
        <f>(Z21/E21)*60</f>
        <v>-9.4280326838466377E-2</v>
      </c>
      <c r="AB21" s="2">
        <v>236</v>
      </c>
      <c r="AC21" s="2">
        <f>(AB21/E21)*60</f>
        <v>22.250157133878062</v>
      </c>
      <c r="AD21" s="2">
        <v>113</v>
      </c>
      <c r="AE21" s="2">
        <f>(AD21/E21)*60</f>
        <v>10.653676932746702</v>
      </c>
      <c r="AF21" s="2">
        <v>31.5</v>
      </c>
      <c r="AG21" s="2">
        <v>33.4</v>
      </c>
      <c r="AH21" s="2">
        <f>AF21-AG21</f>
        <v>-1.8999999999999986</v>
      </c>
      <c r="AI21" s="2">
        <v>8</v>
      </c>
      <c r="AJ21" s="2">
        <f>(AI21/E21)*60</f>
        <v>0.75424261470773102</v>
      </c>
      <c r="AK21" s="2">
        <v>15</v>
      </c>
      <c r="AL21" s="2">
        <v>14</v>
      </c>
      <c r="AM21" s="2">
        <f>(AL21/E21)*60</f>
        <v>1.3199245757385294</v>
      </c>
      <c r="AN21" s="2" t="s">
        <v>160</v>
      </c>
      <c r="AO21" s="2">
        <v>304</v>
      </c>
      <c r="AP21" s="2">
        <v>179</v>
      </c>
      <c r="AQ21" s="14">
        <f>(AP21/E21)*60</f>
        <v>16.876178504085484</v>
      </c>
    </row>
    <row r="22" spans="1:43" x14ac:dyDescent="0.35">
      <c r="A22" s="5" t="s">
        <v>185</v>
      </c>
      <c r="B22" s="5" t="s">
        <v>108</v>
      </c>
      <c r="C22" s="2" t="s">
        <v>31</v>
      </c>
      <c r="D22" s="2">
        <v>36</v>
      </c>
      <c r="E22" s="3">
        <v>524.70000000000005</v>
      </c>
      <c r="F22" s="2">
        <v>4</v>
      </c>
      <c r="G22" s="14">
        <f>(F22/E22)*60</f>
        <v>0.45740423098913663</v>
      </c>
      <c r="H22" s="2">
        <v>2</v>
      </c>
      <c r="I22" s="14">
        <f>(H22/E22)*60</f>
        <v>0.22870211549456831</v>
      </c>
      <c r="J22" s="2">
        <v>6</v>
      </c>
      <c r="K22" s="2">
        <v>13</v>
      </c>
      <c r="L22" s="2">
        <v>60</v>
      </c>
      <c r="M22" s="2">
        <v>28</v>
      </c>
      <c r="N22" s="2">
        <v>2.48</v>
      </c>
      <c r="O22" s="2">
        <v>4.96</v>
      </c>
      <c r="P22" s="2">
        <f>(O22/E22)*60</f>
        <v>0.56718124642652934</v>
      </c>
      <c r="Q22" s="2">
        <v>541</v>
      </c>
      <c r="R22" s="2">
        <v>267</v>
      </c>
      <c r="S22" s="2">
        <v>274</v>
      </c>
      <c r="T22" s="7">
        <v>0.49399999999999999</v>
      </c>
      <c r="U22" s="2">
        <v>6</v>
      </c>
      <c r="V22" s="12">
        <v>19</v>
      </c>
      <c r="W22" s="2">
        <v>25</v>
      </c>
      <c r="X22" s="2">
        <v>14</v>
      </c>
      <c r="Y22" s="2">
        <v>2</v>
      </c>
      <c r="Z22" s="2">
        <f>Y22-X22</f>
        <v>-12</v>
      </c>
      <c r="AA22" s="2">
        <f>(Z22/E22)*60</f>
        <v>-1.3722126929674099</v>
      </c>
      <c r="AB22" s="2">
        <v>125</v>
      </c>
      <c r="AC22" s="2">
        <f>(AB22/E22)*60</f>
        <v>14.29388221841052</v>
      </c>
      <c r="AD22" s="2">
        <v>92</v>
      </c>
      <c r="AE22" s="2">
        <f>(AD22/E22)*60</f>
        <v>10.520297312750142</v>
      </c>
      <c r="AF22" s="2">
        <v>22.2</v>
      </c>
      <c r="AG22" s="2">
        <v>38</v>
      </c>
      <c r="AH22" s="2">
        <f>AF22-AG22</f>
        <v>-15.8</v>
      </c>
      <c r="AI22" s="2">
        <v>13</v>
      </c>
      <c r="AJ22" s="2">
        <f>(AI22/E22)*60</f>
        <v>1.486563750714694</v>
      </c>
      <c r="AK22" s="2">
        <v>7</v>
      </c>
      <c r="AL22" s="2">
        <v>12</v>
      </c>
      <c r="AM22" s="2">
        <f>(AL22/E22)*60</f>
        <v>1.3722126929674099</v>
      </c>
      <c r="AN22" s="2" t="s">
        <v>186</v>
      </c>
      <c r="AO22" s="2">
        <v>281</v>
      </c>
      <c r="AP22" s="2">
        <v>146</v>
      </c>
      <c r="AQ22" s="14">
        <f>(AP22/E22)*60</f>
        <v>16.695254431103486</v>
      </c>
    </row>
    <row r="23" spans="1:43" x14ac:dyDescent="0.35">
      <c r="A23" s="5" t="s">
        <v>139</v>
      </c>
      <c r="B23" s="5" t="s">
        <v>108</v>
      </c>
      <c r="C23" s="2" t="s">
        <v>39</v>
      </c>
      <c r="D23" s="2">
        <v>36</v>
      </c>
      <c r="E23" s="3">
        <v>621.75</v>
      </c>
      <c r="F23" s="2">
        <v>0</v>
      </c>
      <c r="G23" s="14">
        <f>(F23/E23)*60</f>
        <v>0</v>
      </c>
      <c r="H23" s="2">
        <v>3</v>
      </c>
      <c r="I23" s="14">
        <f>(H23/E23)*60</f>
        <v>0.28950542822677922</v>
      </c>
      <c r="J23" s="2">
        <v>3</v>
      </c>
      <c r="K23" s="2">
        <v>1</v>
      </c>
      <c r="L23" s="2">
        <v>63</v>
      </c>
      <c r="M23" s="2">
        <v>30</v>
      </c>
      <c r="N23" s="2">
        <v>0.66</v>
      </c>
      <c r="O23" s="2">
        <v>1.74</v>
      </c>
      <c r="P23" s="2">
        <f>(O23/E23)*60</f>
        <v>0.16791314837153196</v>
      </c>
      <c r="Q23" s="2">
        <v>1</v>
      </c>
      <c r="R23" s="2">
        <v>1</v>
      </c>
      <c r="S23" s="2">
        <v>0</v>
      </c>
      <c r="T23" s="8">
        <v>1</v>
      </c>
      <c r="U23" s="2">
        <v>10</v>
      </c>
      <c r="V23" s="12">
        <v>22</v>
      </c>
      <c r="W23" s="2">
        <v>32</v>
      </c>
      <c r="X23" s="2">
        <v>14</v>
      </c>
      <c r="Y23" s="2">
        <v>5</v>
      </c>
      <c r="Z23" s="2">
        <f>Y23-X23</f>
        <v>-9</v>
      </c>
      <c r="AA23" s="2">
        <f>(Z23/E23)*60</f>
        <v>-0.8685162846803377</v>
      </c>
      <c r="AB23" s="2">
        <v>173</v>
      </c>
      <c r="AC23" s="2">
        <f>(AB23/E23)*60</f>
        <v>16.694813027744267</v>
      </c>
      <c r="AD23" s="2">
        <v>113</v>
      </c>
      <c r="AE23" s="2">
        <f>(AD23/E23)*60</f>
        <v>10.904704463208684</v>
      </c>
      <c r="AF23" s="2">
        <v>21.9</v>
      </c>
      <c r="AG23" s="2">
        <v>46.5</v>
      </c>
      <c r="AH23" s="2">
        <f>AF23-AG23</f>
        <v>-24.6</v>
      </c>
      <c r="AI23" s="2">
        <v>1</v>
      </c>
      <c r="AJ23" s="2">
        <f>(AI23/E23)*60</f>
        <v>9.6501809408926414E-2</v>
      </c>
      <c r="AK23" s="2">
        <v>5</v>
      </c>
      <c r="AL23" s="2">
        <v>6</v>
      </c>
      <c r="AM23" s="2">
        <f>(AL23/E23)*60</f>
        <v>0.57901085645355843</v>
      </c>
      <c r="AN23" s="2" t="s">
        <v>140</v>
      </c>
      <c r="AO23" s="2">
        <v>326</v>
      </c>
      <c r="AP23" s="2">
        <v>173</v>
      </c>
      <c r="AQ23" s="14">
        <f>(AP23/E23)*60</f>
        <v>16.694813027744267</v>
      </c>
    </row>
    <row r="24" spans="1:43" x14ac:dyDescent="0.35">
      <c r="A24" s="5" t="s">
        <v>145</v>
      </c>
      <c r="B24" s="5" t="s">
        <v>105</v>
      </c>
      <c r="C24" s="2" t="s">
        <v>31</v>
      </c>
      <c r="D24" s="2">
        <v>36</v>
      </c>
      <c r="E24" s="3">
        <v>646.41666666666663</v>
      </c>
      <c r="F24" s="2">
        <v>8</v>
      </c>
      <c r="G24" s="14">
        <f>(F24/E24)*60</f>
        <v>0.74255511151218268</v>
      </c>
      <c r="H24" s="2">
        <v>8</v>
      </c>
      <c r="I24" s="14">
        <f>(H24/E24)*60</f>
        <v>0.74255511151218268</v>
      </c>
      <c r="J24" s="2">
        <v>16</v>
      </c>
      <c r="K24" s="2">
        <v>30</v>
      </c>
      <c r="L24" s="2">
        <v>100</v>
      </c>
      <c r="M24" s="2">
        <v>65</v>
      </c>
      <c r="N24" s="2">
        <v>3.91</v>
      </c>
      <c r="O24" s="2">
        <v>10.7</v>
      </c>
      <c r="P24" s="2">
        <f>(O24/E24)*60</f>
        <v>0.99316746164754421</v>
      </c>
      <c r="Q24" s="2">
        <v>4</v>
      </c>
      <c r="R24" s="2">
        <v>3</v>
      </c>
      <c r="S24" s="2">
        <v>1</v>
      </c>
      <c r="T24" s="8">
        <v>0.75</v>
      </c>
      <c r="U24" s="2">
        <v>10</v>
      </c>
      <c r="V24" s="12">
        <v>21</v>
      </c>
      <c r="W24" s="2">
        <v>31</v>
      </c>
      <c r="X24" s="2">
        <v>6</v>
      </c>
      <c r="Y24" s="2">
        <v>11</v>
      </c>
      <c r="Z24" s="2">
        <f>Y24-X24</f>
        <v>5</v>
      </c>
      <c r="AA24" s="2">
        <f>(Z24/E24)*60</f>
        <v>0.46409694469511414</v>
      </c>
      <c r="AB24" s="2">
        <v>100</v>
      </c>
      <c r="AC24" s="2">
        <f>(AB24/E24)*60</f>
        <v>9.2819388939022822</v>
      </c>
      <c r="AD24" s="2">
        <v>194</v>
      </c>
      <c r="AE24" s="2">
        <f>(AD24/E24)*60</f>
        <v>18.006961454170426</v>
      </c>
      <c r="AF24" s="2">
        <v>34.5</v>
      </c>
      <c r="AG24" s="2">
        <v>30.4</v>
      </c>
      <c r="AH24" s="2">
        <f>AF24-AG24</f>
        <v>4.1000000000000014</v>
      </c>
      <c r="AI24" s="2">
        <v>30</v>
      </c>
      <c r="AJ24" s="2">
        <f>(AI24/E24)*60</f>
        <v>2.7845816681706848</v>
      </c>
      <c r="AK24" s="2">
        <v>21</v>
      </c>
      <c r="AL24" s="2">
        <v>24</v>
      </c>
      <c r="AM24" s="2">
        <f>(AL24/E24)*60</f>
        <v>2.2276653345365478</v>
      </c>
      <c r="AN24" s="2" t="s">
        <v>146</v>
      </c>
      <c r="AO24" s="2">
        <v>375</v>
      </c>
      <c r="AP24" s="2">
        <v>177</v>
      </c>
      <c r="AQ24" s="14">
        <f>(AP24/E24)*60</f>
        <v>16.429031842207038</v>
      </c>
    </row>
    <row r="25" spans="1:43" x14ac:dyDescent="0.35">
      <c r="A25" s="5" t="s">
        <v>173</v>
      </c>
      <c r="B25" s="5" t="s">
        <v>34</v>
      </c>
      <c r="C25" s="2" t="s">
        <v>39</v>
      </c>
      <c r="D25" s="2">
        <v>36</v>
      </c>
      <c r="E25" s="3">
        <v>532.76666666666665</v>
      </c>
      <c r="F25" s="2">
        <v>3</v>
      </c>
      <c r="G25" s="14">
        <f>(F25/E25)*60</f>
        <v>0.33785897516110869</v>
      </c>
      <c r="H25" s="2">
        <v>3</v>
      </c>
      <c r="I25" s="14">
        <f>(H25/E25)*60</f>
        <v>0.33785897516110869</v>
      </c>
      <c r="J25" s="2">
        <v>6</v>
      </c>
      <c r="K25" s="2">
        <v>5</v>
      </c>
      <c r="L25" s="2">
        <v>85</v>
      </c>
      <c r="M25" s="2">
        <v>46</v>
      </c>
      <c r="N25" s="2">
        <v>1.18</v>
      </c>
      <c r="O25" s="2">
        <v>3.77</v>
      </c>
      <c r="P25" s="2">
        <f>(O25/E25)*60</f>
        <v>0.4245761121191266</v>
      </c>
      <c r="Q25" s="2">
        <v>22</v>
      </c>
      <c r="R25" s="2">
        <v>10</v>
      </c>
      <c r="S25" s="2">
        <v>12</v>
      </c>
      <c r="T25" s="7">
        <v>0.45500000000000002</v>
      </c>
      <c r="U25" s="2">
        <v>7</v>
      </c>
      <c r="V25" s="12">
        <v>19</v>
      </c>
      <c r="W25" s="2">
        <v>12</v>
      </c>
      <c r="X25" s="2">
        <v>9</v>
      </c>
      <c r="Y25" s="2">
        <v>5</v>
      </c>
      <c r="Z25" s="2">
        <f>Y25-X25</f>
        <v>-4</v>
      </c>
      <c r="AA25" s="2">
        <f>(Z25/E25)*60</f>
        <v>-0.45047863354814494</v>
      </c>
      <c r="AB25" s="2">
        <v>117</v>
      </c>
      <c r="AC25" s="2">
        <f>(AB25/E25)*60</f>
        <v>13.176500031283238</v>
      </c>
      <c r="AD25" s="2">
        <v>114</v>
      </c>
      <c r="AE25" s="2">
        <f>(AD25/E25)*60</f>
        <v>12.838641056122132</v>
      </c>
      <c r="AF25" s="2">
        <v>21</v>
      </c>
      <c r="AG25" s="2">
        <v>25.4</v>
      </c>
      <c r="AH25" s="2">
        <f>AF25-AG25</f>
        <v>-4.3999999999999986</v>
      </c>
      <c r="AI25" s="2">
        <v>5</v>
      </c>
      <c r="AJ25" s="2">
        <f>(AI25/E25)*60</f>
        <v>0.56309829193518113</v>
      </c>
      <c r="AK25" s="2">
        <v>3</v>
      </c>
      <c r="AL25" s="2">
        <v>5</v>
      </c>
      <c r="AM25" s="2">
        <f>(AL25/E25)*60</f>
        <v>0.56309829193518113</v>
      </c>
      <c r="AN25" s="2" t="s">
        <v>174</v>
      </c>
      <c r="AO25" s="2">
        <v>271</v>
      </c>
      <c r="AP25" s="2">
        <v>145</v>
      </c>
      <c r="AQ25" s="14">
        <f>(AP25/E25)*60</f>
        <v>16.329850466120256</v>
      </c>
    </row>
    <row r="26" spans="1:43" x14ac:dyDescent="0.35">
      <c r="A26" s="5" t="s">
        <v>102</v>
      </c>
      <c r="B26" s="5" t="s">
        <v>60</v>
      </c>
      <c r="C26" s="2" t="s">
        <v>31</v>
      </c>
      <c r="D26" s="2">
        <v>36</v>
      </c>
      <c r="E26" s="3">
        <v>638.23333333333335</v>
      </c>
      <c r="F26" s="2">
        <v>10</v>
      </c>
      <c r="G26" s="14">
        <f>(F26/E26)*60</f>
        <v>0.94009505405546556</v>
      </c>
      <c r="H26" s="2">
        <v>5</v>
      </c>
      <c r="I26" s="14">
        <f>(H26/E26)*60</f>
        <v>0.47004752702773278</v>
      </c>
      <c r="J26" s="2">
        <v>15</v>
      </c>
      <c r="K26" s="2">
        <v>18</v>
      </c>
      <c r="L26" s="2">
        <v>177</v>
      </c>
      <c r="M26" s="2">
        <v>88</v>
      </c>
      <c r="N26" s="2">
        <v>2.13</v>
      </c>
      <c r="O26" s="2">
        <v>10.9</v>
      </c>
      <c r="P26" s="2">
        <f>(O26/E26)*60</f>
        <v>1.0247036089204575</v>
      </c>
      <c r="Q26" s="2">
        <v>0</v>
      </c>
      <c r="R26" s="2">
        <v>0</v>
      </c>
      <c r="S26" s="2">
        <v>0</v>
      </c>
      <c r="T26" s="2">
        <v>0</v>
      </c>
      <c r="U26" s="2">
        <v>6</v>
      </c>
      <c r="V26" s="12">
        <v>26</v>
      </c>
      <c r="W26" s="2">
        <v>20</v>
      </c>
      <c r="X26" s="2">
        <v>6</v>
      </c>
      <c r="Y26" s="2">
        <v>13</v>
      </c>
      <c r="Z26" s="2">
        <f>Y26-X26</f>
        <v>7</v>
      </c>
      <c r="AA26" s="2">
        <f>(Z26/E26)*60</f>
        <v>0.65806653783882585</v>
      </c>
      <c r="AB26" s="2">
        <v>92</v>
      </c>
      <c r="AC26" s="2">
        <f>(AB26/E26)*60</f>
        <v>8.6488744973102829</v>
      </c>
      <c r="AD26" s="2">
        <v>163</v>
      </c>
      <c r="AE26" s="2">
        <f>(AD26/E26)*60</f>
        <v>15.32354938110409</v>
      </c>
      <c r="AF26" s="2">
        <v>31.1</v>
      </c>
      <c r="AG26" s="2">
        <v>35</v>
      </c>
      <c r="AH26" s="2">
        <f>AF26-AG26</f>
        <v>-3.8999999999999986</v>
      </c>
      <c r="AI26" s="2">
        <v>18</v>
      </c>
      <c r="AJ26" s="2">
        <f>(AI26/E26)*60</f>
        <v>1.6921710972998381</v>
      </c>
      <c r="AK26" s="2">
        <v>10</v>
      </c>
      <c r="AL26" s="2">
        <v>15</v>
      </c>
      <c r="AM26" s="2">
        <f>(AL26/E26)*60</f>
        <v>1.4101425810831985</v>
      </c>
      <c r="AN26" s="2" t="s">
        <v>103</v>
      </c>
      <c r="AO26" s="2">
        <v>381</v>
      </c>
      <c r="AP26" s="2">
        <v>169</v>
      </c>
      <c r="AQ26" s="14">
        <f>(AP26/E26)*60</f>
        <v>15.887606413537368</v>
      </c>
    </row>
    <row r="27" spans="1:43" x14ac:dyDescent="0.35">
      <c r="A27" s="5" t="s">
        <v>107</v>
      </c>
      <c r="B27" s="5" t="s">
        <v>108</v>
      </c>
      <c r="C27" s="2" t="s">
        <v>31</v>
      </c>
      <c r="D27" s="2">
        <v>36</v>
      </c>
      <c r="E27" s="3">
        <v>606.38333333333333</v>
      </c>
      <c r="F27" s="2">
        <v>4</v>
      </c>
      <c r="G27" s="14">
        <f>(F27/E27)*60</f>
        <v>0.39578924222851336</v>
      </c>
      <c r="H27" s="2">
        <v>11</v>
      </c>
      <c r="I27" s="14">
        <f>(H27/E27)*60</f>
        <v>1.0884204161284117</v>
      </c>
      <c r="J27" s="2">
        <v>15</v>
      </c>
      <c r="K27" s="2">
        <v>30</v>
      </c>
      <c r="L27" s="2">
        <v>121</v>
      </c>
      <c r="M27" s="2">
        <v>64</v>
      </c>
      <c r="N27" s="2">
        <v>3.02</v>
      </c>
      <c r="O27" s="2">
        <v>9.6</v>
      </c>
      <c r="P27" s="2">
        <f>(O27/E27)*60</f>
        <v>0.94989418134843195</v>
      </c>
      <c r="Q27" s="2">
        <v>0</v>
      </c>
      <c r="R27" s="2">
        <v>0</v>
      </c>
      <c r="S27" s="2">
        <v>0</v>
      </c>
      <c r="T27" s="2">
        <v>0</v>
      </c>
      <c r="U27" s="2">
        <v>9</v>
      </c>
      <c r="V27" s="12">
        <v>26</v>
      </c>
      <c r="W27" s="2">
        <v>35</v>
      </c>
      <c r="X27" s="2">
        <v>5</v>
      </c>
      <c r="Y27" s="2">
        <v>12</v>
      </c>
      <c r="Z27" s="2">
        <f>Y27-X27</f>
        <v>7</v>
      </c>
      <c r="AA27" s="2">
        <f>(Z27/E27)*60</f>
        <v>0.69263117389989826</v>
      </c>
      <c r="AB27" s="2">
        <v>97</v>
      </c>
      <c r="AC27" s="2">
        <f>(AB27/E27)*60</f>
        <v>9.5978891240414477</v>
      </c>
      <c r="AD27" s="2">
        <v>154</v>
      </c>
      <c r="AE27" s="2">
        <f>(AD27/E27)*60</f>
        <v>15.237885825797765</v>
      </c>
      <c r="AF27" s="2">
        <v>30.1</v>
      </c>
      <c r="AG27" s="2">
        <v>48.1</v>
      </c>
      <c r="AH27" s="2">
        <f>AF27-AG27</f>
        <v>-18</v>
      </c>
      <c r="AI27" s="2">
        <v>30</v>
      </c>
      <c r="AJ27" s="2">
        <f>(AI27/E27)*60</f>
        <v>2.9684193167138497</v>
      </c>
      <c r="AK27" s="2">
        <v>16</v>
      </c>
      <c r="AL27" s="2">
        <v>19</v>
      </c>
      <c r="AM27" s="2">
        <f>(AL27/E27)*60</f>
        <v>1.8799989005854383</v>
      </c>
      <c r="AN27" s="2" t="s">
        <v>109</v>
      </c>
      <c r="AO27" s="2">
        <v>328</v>
      </c>
      <c r="AP27" s="2">
        <v>158</v>
      </c>
      <c r="AQ27" s="14">
        <f>(AP27/E27)*60</f>
        <v>15.633675068026276</v>
      </c>
    </row>
    <row r="28" spans="1:43" x14ac:dyDescent="0.35">
      <c r="A28" s="5" t="s">
        <v>313</v>
      </c>
      <c r="B28" s="5" t="s">
        <v>71</v>
      </c>
      <c r="C28" s="2" t="s">
        <v>31</v>
      </c>
      <c r="D28" s="2">
        <v>36</v>
      </c>
      <c r="E28" s="3">
        <v>357.63333333333333</v>
      </c>
      <c r="F28" s="2">
        <v>3</v>
      </c>
      <c r="G28" s="14">
        <f>(F28/E28)*60</f>
        <v>0.5033087892627458</v>
      </c>
      <c r="H28" s="2">
        <v>1</v>
      </c>
      <c r="I28" s="14">
        <f>(H28/E28)*60</f>
        <v>0.16776959642091527</v>
      </c>
      <c r="J28" s="2">
        <v>4</v>
      </c>
      <c r="K28" s="2">
        <v>15</v>
      </c>
      <c r="L28" s="2">
        <v>40</v>
      </c>
      <c r="M28" s="2">
        <v>23</v>
      </c>
      <c r="N28" s="2">
        <v>2.4700000000000002</v>
      </c>
      <c r="O28" s="2">
        <v>4.9000000000000004</v>
      </c>
      <c r="P28" s="2">
        <f>(O28/E28)*60</f>
        <v>0.82207102246248487</v>
      </c>
      <c r="Q28" s="2">
        <v>143</v>
      </c>
      <c r="R28" s="2">
        <v>55</v>
      </c>
      <c r="S28" s="2">
        <v>88</v>
      </c>
      <c r="T28" s="7">
        <v>0.38500000000000001</v>
      </c>
      <c r="U28" s="2">
        <v>4</v>
      </c>
      <c r="V28" s="12">
        <v>8</v>
      </c>
      <c r="W28" s="2">
        <v>12</v>
      </c>
      <c r="X28" s="2">
        <v>2</v>
      </c>
      <c r="Y28" s="2">
        <v>2</v>
      </c>
      <c r="Z28" s="2">
        <f>Y28-X28</f>
        <v>0</v>
      </c>
      <c r="AA28" s="2">
        <f>(Z28/E28)*60</f>
        <v>0</v>
      </c>
      <c r="AB28" s="2">
        <v>44</v>
      </c>
      <c r="AC28" s="2">
        <f>(AB28/E28)*60</f>
        <v>7.3818622425202722</v>
      </c>
      <c r="AD28" s="2">
        <v>80</v>
      </c>
      <c r="AE28" s="2">
        <f>(AD28/E28)*60</f>
        <v>13.421567713673223</v>
      </c>
      <c r="AF28" s="2">
        <v>14.1</v>
      </c>
      <c r="AG28" s="2">
        <v>19</v>
      </c>
      <c r="AH28" s="2">
        <f>AF28-AG28</f>
        <v>-4.9000000000000004</v>
      </c>
      <c r="AI28" s="2">
        <v>15</v>
      </c>
      <c r="AJ28" s="2">
        <f>(AI28/E28)*60</f>
        <v>2.5165439463137291</v>
      </c>
      <c r="AK28" s="2">
        <v>3</v>
      </c>
      <c r="AL28" s="2">
        <v>1</v>
      </c>
      <c r="AM28" s="2">
        <f>(AL28/E28)*60</f>
        <v>0.16776959642091527</v>
      </c>
      <c r="AN28" s="2" t="s">
        <v>314</v>
      </c>
      <c r="AO28" s="2">
        <v>203</v>
      </c>
      <c r="AP28" s="2">
        <v>93</v>
      </c>
      <c r="AQ28" s="14">
        <f>(AP28/E28)*60</f>
        <v>15.602572467145121</v>
      </c>
    </row>
    <row r="29" spans="1:43" x14ac:dyDescent="0.35">
      <c r="A29" s="5" t="s">
        <v>116</v>
      </c>
      <c r="B29" s="5" t="s">
        <v>60</v>
      </c>
      <c r="C29" s="2" t="s">
        <v>31</v>
      </c>
      <c r="D29" s="2">
        <v>36</v>
      </c>
      <c r="E29" s="3">
        <v>634.75</v>
      </c>
      <c r="F29" s="2">
        <v>4</v>
      </c>
      <c r="G29" s="14">
        <f>(F29/E29)*60</f>
        <v>0.37810161480897991</v>
      </c>
      <c r="H29" s="2">
        <v>13</v>
      </c>
      <c r="I29" s="14">
        <f>(H29/E29)*60</f>
        <v>1.2288302481291846</v>
      </c>
      <c r="J29" s="2">
        <v>17</v>
      </c>
      <c r="K29" s="2">
        <v>20</v>
      </c>
      <c r="L29" s="2">
        <v>110</v>
      </c>
      <c r="M29" s="2">
        <v>74</v>
      </c>
      <c r="N29" s="2">
        <v>1.77</v>
      </c>
      <c r="O29" s="2">
        <v>6.9</v>
      </c>
      <c r="P29" s="2">
        <f>(O29/E29)*60</f>
        <v>0.65222528554549042</v>
      </c>
      <c r="Q29" s="2">
        <v>164</v>
      </c>
      <c r="R29" s="2">
        <v>91</v>
      </c>
      <c r="S29" s="2">
        <v>73</v>
      </c>
      <c r="T29" s="7">
        <v>0.55500000000000005</v>
      </c>
      <c r="U29" s="2">
        <v>0</v>
      </c>
      <c r="V29" s="12">
        <v>25</v>
      </c>
      <c r="W29" s="2">
        <v>25</v>
      </c>
      <c r="X29" s="2">
        <v>0</v>
      </c>
      <c r="Y29" s="2">
        <v>14</v>
      </c>
      <c r="Z29" s="2">
        <f>Y29-X29</f>
        <v>14</v>
      </c>
      <c r="AA29" s="2">
        <f>(Z29/E29)*60</f>
        <v>1.3233556518314298</v>
      </c>
      <c r="AB29" s="2">
        <v>102</v>
      </c>
      <c r="AC29" s="2">
        <f>(AB29/E29)*60</f>
        <v>9.6415911776289871</v>
      </c>
      <c r="AD29" s="2">
        <v>170</v>
      </c>
      <c r="AE29" s="2">
        <f>(AD29/E29)*60</f>
        <v>16.069318629381645</v>
      </c>
      <c r="AF29" s="2">
        <v>25.1</v>
      </c>
      <c r="AG29" s="2">
        <v>35.200000000000003</v>
      </c>
      <c r="AH29" s="2">
        <f>AF29-AG29</f>
        <v>-10.100000000000001</v>
      </c>
      <c r="AI29" s="2">
        <v>20</v>
      </c>
      <c r="AJ29" s="2">
        <f>(AI29/E29)*60</f>
        <v>1.8905080740448996</v>
      </c>
      <c r="AK29" s="2">
        <v>6</v>
      </c>
      <c r="AL29" s="2">
        <v>13</v>
      </c>
      <c r="AM29" s="2">
        <f>(AL29/E29)*60</f>
        <v>1.2288302481291846</v>
      </c>
      <c r="AN29" s="2" t="s">
        <v>117</v>
      </c>
      <c r="AO29" s="2">
        <v>367</v>
      </c>
      <c r="AP29" s="2">
        <v>165</v>
      </c>
      <c r="AQ29" s="14">
        <f>(AP29/E29)*60</f>
        <v>15.596691610870421</v>
      </c>
    </row>
    <row r="30" spans="1:43" x14ac:dyDescent="0.35">
      <c r="A30" s="5" t="s">
        <v>291</v>
      </c>
      <c r="B30" s="5" t="s">
        <v>60</v>
      </c>
      <c r="C30" s="2" t="s">
        <v>39</v>
      </c>
      <c r="D30" s="2">
        <v>36</v>
      </c>
      <c r="E30" s="3">
        <v>478.73333333333335</v>
      </c>
      <c r="F30" s="2">
        <v>0</v>
      </c>
      <c r="G30" s="14">
        <f>(F30/E30)*60</f>
        <v>0</v>
      </c>
      <c r="H30" s="2">
        <v>1</v>
      </c>
      <c r="I30" s="14">
        <f>(H30/E30)*60</f>
        <v>0.12533073388107507</v>
      </c>
      <c r="J30" s="2">
        <v>1</v>
      </c>
      <c r="K30" s="2">
        <v>0</v>
      </c>
      <c r="L30" s="2">
        <v>50</v>
      </c>
      <c r="M30" s="2">
        <v>18</v>
      </c>
      <c r="N30" s="2">
        <v>0.49</v>
      </c>
      <c r="O30" s="2">
        <v>0.97</v>
      </c>
      <c r="P30" s="2">
        <f>(O30/E30)*60</f>
        <v>0.1215708118646428</v>
      </c>
      <c r="Q30" s="2">
        <v>0</v>
      </c>
      <c r="R30" s="2">
        <v>0</v>
      </c>
      <c r="S30" s="2">
        <v>0</v>
      </c>
      <c r="T30" s="2">
        <v>0</v>
      </c>
      <c r="U30" s="2">
        <v>12</v>
      </c>
      <c r="V30" s="12">
        <v>10</v>
      </c>
      <c r="W30" s="2">
        <v>22</v>
      </c>
      <c r="X30" s="2">
        <v>3</v>
      </c>
      <c r="Y30" s="2">
        <v>1</v>
      </c>
      <c r="Z30" s="2">
        <f>Y30-X30</f>
        <v>-2</v>
      </c>
      <c r="AA30" s="2">
        <f>(Z30/E30)*60</f>
        <v>-0.25066146776215015</v>
      </c>
      <c r="AB30" s="2">
        <v>123</v>
      </c>
      <c r="AC30" s="2">
        <f>(AB30/E30)*60</f>
        <v>15.415680267372231</v>
      </c>
      <c r="AD30" s="2">
        <v>82</v>
      </c>
      <c r="AE30" s="2">
        <f>(AD30/E30)*60</f>
        <v>10.277120178248156</v>
      </c>
      <c r="AF30" s="2">
        <v>19.600000000000001</v>
      </c>
      <c r="AG30" s="2">
        <v>25.8</v>
      </c>
      <c r="AH30" s="2">
        <f>AF30-AG30</f>
        <v>-6.1999999999999993</v>
      </c>
      <c r="AI30" s="2">
        <v>0</v>
      </c>
      <c r="AJ30" s="2">
        <f>(AI30/E30)*60</f>
        <v>0</v>
      </c>
      <c r="AK30" s="2">
        <v>0</v>
      </c>
      <c r="AL30" s="2">
        <v>7</v>
      </c>
      <c r="AM30" s="2">
        <f>(AL30/E30)*60</f>
        <v>0.87731513716752541</v>
      </c>
      <c r="AN30" s="2" t="s">
        <v>42</v>
      </c>
      <c r="AO30" s="2">
        <v>231</v>
      </c>
      <c r="AP30" s="2">
        <v>124</v>
      </c>
      <c r="AQ30" s="14">
        <f>(AP30/E30)*60</f>
        <v>15.541011001253306</v>
      </c>
    </row>
    <row r="31" spans="1:43" x14ac:dyDescent="0.35">
      <c r="A31" s="5" t="s">
        <v>82</v>
      </c>
      <c r="B31" s="5" t="s">
        <v>53</v>
      </c>
      <c r="C31" s="2" t="s">
        <v>31</v>
      </c>
      <c r="D31" s="2">
        <v>36</v>
      </c>
      <c r="E31" s="3">
        <v>619.58333333333337</v>
      </c>
      <c r="F31" s="2">
        <v>9</v>
      </c>
      <c r="G31" s="14">
        <f>(F31/E31)*60</f>
        <v>0.87155346334902484</v>
      </c>
      <c r="H31" s="2">
        <v>14</v>
      </c>
      <c r="I31" s="14">
        <f>(H31/E31)*60</f>
        <v>1.3557498318762609</v>
      </c>
      <c r="J31" s="2">
        <v>23</v>
      </c>
      <c r="K31" s="2">
        <v>38</v>
      </c>
      <c r="L31" s="2">
        <v>182</v>
      </c>
      <c r="M31" s="2">
        <v>109</v>
      </c>
      <c r="N31" s="2">
        <v>2.87</v>
      </c>
      <c r="O31" s="2">
        <v>15.8</v>
      </c>
      <c r="P31" s="2">
        <f>(O31/E31)*60</f>
        <v>1.5300605245460659</v>
      </c>
      <c r="Q31" s="2">
        <v>0</v>
      </c>
      <c r="R31" s="2">
        <v>0</v>
      </c>
      <c r="S31" s="2">
        <v>0</v>
      </c>
      <c r="T31" s="2">
        <v>0</v>
      </c>
      <c r="U31" s="2">
        <v>12</v>
      </c>
      <c r="V31" s="12">
        <v>30</v>
      </c>
      <c r="W31" s="2">
        <v>18</v>
      </c>
      <c r="X31" s="2">
        <v>3</v>
      </c>
      <c r="Y31" s="2">
        <v>2</v>
      </c>
      <c r="Z31" s="2">
        <f>Y31-X31</f>
        <v>-1</v>
      </c>
      <c r="AA31" s="2">
        <f>(Z31/E31)*60</f>
        <v>-9.6839273705447204E-2</v>
      </c>
      <c r="AB31" s="2">
        <v>85</v>
      </c>
      <c r="AC31" s="2">
        <f>(AB31/E31)*60</f>
        <v>8.2313382649630125</v>
      </c>
      <c r="AD31" s="2">
        <v>124</v>
      </c>
      <c r="AE31" s="2">
        <f>(AD31/E31)*60</f>
        <v>12.008069939475453</v>
      </c>
      <c r="AF31" s="2">
        <v>43.4</v>
      </c>
      <c r="AG31" s="2">
        <v>25.1</v>
      </c>
      <c r="AH31" s="2">
        <f>AF31-AG31</f>
        <v>18.299999999999997</v>
      </c>
      <c r="AI31" s="2">
        <v>38</v>
      </c>
      <c r="AJ31" s="2">
        <f>(AI31/E31)*60</f>
        <v>3.679892400806994</v>
      </c>
      <c r="AK31" s="2">
        <v>19</v>
      </c>
      <c r="AL31" s="2">
        <v>24</v>
      </c>
      <c r="AM31" s="2">
        <f>(AL31/E31)*60</f>
        <v>2.3241425689307329</v>
      </c>
      <c r="AN31" s="2" t="s">
        <v>83</v>
      </c>
      <c r="AO31" s="2">
        <v>343</v>
      </c>
      <c r="AP31" s="2">
        <v>160</v>
      </c>
      <c r="AQ31" s="14">
        <f>(AP31/E31)*60</f>
        <v>15.494283792871551</v>
      </c>
    </row>
    <row r="32" spans="1:43" x14ac:dyDescent="0.35">
      <c r="A32" s="5" t="s">
        <v>193</v>
      </c>
      <c r="B32" s="5" t="s">
        <v>53</v>
      </c>
      <c r="C32" s="2" t="s">
        <v>31</v>
      </c>
      <c r="D32" s="2">
        <v>36</v>
      </c>
      <c r="E32" s="3">
        <v>588.6</v>
      </c>
      <c r="F32" s="2">
        <v>7</v>
      </c>
      <c r="G32" s="14">
        <f>(F32/E32)*60</f>
        <v>0.7135575942915392</v>
      </c>
      <c r="H32" s="2">
        <v>4</v>
      </c>
      <c r="I32" s="14">
        <f>(H32/E32)*60</f>
        <v>0.4077471967380224</v>
      </c>
      <c r="J32" s="2">
        <v>11</v>
      </c>
      <c r="K32" s="2">
        <v>38</v>
      </c>
      <c r="L32" s="2">
        <v>98</v>
      </c>
      <c r="M32" s="2">
        <v>65</v>
      </c>
      <c r="N32" s="2">
        <v>3.74</v>
      </c>
      <c r="O32" s="2">
        <v>11.5</v>
      </c>
      <c r="P32" s="2">
        <f>(O32/E32)*60</f>
        <v>1.1722731906218145</v>
      </c>
      <c r="Q32" s="2">
        <v>2</v>
      </c>
      <c r="R32" s="2">
        <v>1</v>
      </c>
      <c r="S32" s="2">
        <v>1</v>
      </c>
      <c r="T32" s="8">
        <v>0.5</v>
      </c>
      <c r="U32" s="2">
        <v>5</v>
      </c>
      <c r="V32" s="12">
        <v>18</v>
      </c>
      <c r="W32" s="2">
        <v>13</v>
      </c>
      <c r="X32" s="2">
        <v>2</v>
      </c>
      <c r="Y32" s="2">
        <v>7</v>
      </c>
      <c r="Z32" s="2">
        <f>Y32-X32</f>
        <v>5</v>
      </c>
      <c r="AA32" s="2">
        <f>(Z32/E32)*60</f>
        <v>0.509683995922528</v>
      </c>
      <c r="AB32" s="2">
        <v>68</v>
      </c>
      <c r="AC32" s="2">
        <f>(AB32/E32)*60</f>
        <v>6.9317023445463812</v>
      </c>
      <c r="AD32" s="2">
        <v>114</v>
      </c>
      <c r="AE32" s="2">
        <f>(AD32/E32)*60</f>
        <v>11.62079510703364</v>
      </c>
      <c r="AF32" s="2">
        <v>37.9</v>
      </c>
      <c r="AG32" s="2">
        <v>27.1</v>
      </c>
      <c r="AH32" s="2">
        <f>AF32-AG32</f>
        <v>10.799999999999997</v>
      </c>
      <c r="AI32" s="2">
        <v>38</v>
      </c>
      <c r="AJ32" s="2">
        <f>(AI32/E32)*60</f>
        <v>3.873598369011213</v>
      </c>
      <c r="AK32" s="2">
        <v>7</v>
      </c>
      <c r="AL32" s="2">
        <v>15</v>
      </c>
      <c r="AM32" s="2">
        <f>(AL32/E32)*60</f>
        <v>1.5290519877675841</v>
      </c>
      <c r="AN32" s="2" t="s">
        <v>194</v>
      </c>
      <c r="AO32" s="2">
        <v>319</v>
      </c>
      <c r="AP32" s="2">
        <v>151</v>
      </c>
      <c r="AQ32" s="14">
        <f>(AP32/E32)*60</f>
        <v>15.392456676860345</v>
      </c>
    </row>
    <row r="33" spans="1:43" x14ac:dyDescent="0.35">
      <c r="A33" s="5" t="s">
        <v>127</v>
      </c>
      <c r="B33" s="5" t="s">
        <v>108</v>
      </c>
      <c r="C33" s="2" t="s">
        <v>39</v>
      </c>
      <c r="D33" s="2">
        <v>36</v>
      </c>
      <c r="E33" s="3">
        <v>643.86666666666667</v>
      </c>
      <c r="F33" s="2">
        <v>5</v>
      </c>
      <c r="G33" s="14">
        <f>(F33/E33)*60</f>
        <v>0.46593497618554564</v>
      </c>
      <c r="H33" s="2">
        <v>3</v>
      </c>
      <c r="I33" s="14">
        <f>(H33/E33)*60</f>
        <v>0.27956098571132737</v>
      </c>
      <c r="J33" s="2">
        <v>8</v>
      </c>
      <c r="K33" s="2">
        <v>13</v>
      </c>
      <c r="L33" s="2">
        <v>102</v>
      </c>
      <c r="M33" s="2">
        <v>53</v>
      </c>
      <c r="N33" s="2">
        <v>1.55</v>
      </c>
      <c r="O33" s="2">
        <v>5.0999999999999996</v>
      </c>
      <c r="P33" s="2">
        <f>(O33/E33)*60</f>
        <v>0.47525367570925658</v>
      </c>
      <c r="Q33" s="2">
        <v>9</v>
      </c>
      <c r="R33" s="2">
        <v>2</v>
      </c>
      <c r="S33" s="2">
        <v>7</v>
      </c>
      <c r="T33" s="7">
        <v>0.222</v>
      </c>
      <c r="U33" s="2">
        <v>12</v>
      </c>
      <c r="V33" s="12">
        <v>23</v>
      </c>
      <c r="W33" s="2">
        <v>35</v>
      </c>
      <c r="X33" s="2">
        <v>16</v>
      </c>
      <c r="Y33" s="2">
        <v>5</v>
      </c>
      <c r="Z33" s="2">
        <f>Y33-X33</f>
        <v>-11</v>
      </c>
      <c r="AA33" s="2">
        <f>(Z33/E33)*60</f>
        <v>-1.0250569476082005</v>
      </c>
      <c r="AB33" s="2">
        <v>167</v>
      </c>
      <c r="AC33" s="2">
        <f>(AB33/E33)*60</f>
        <v>15.562228204597224</v>
      </c>
      <c r="AD33" s="2">
        <v>171</v>
      </c>
      <c r="AE33" s="2">
        <f>(AD33/E33)*60</f>
        <v>15.934976185545661</v>
      </c>
      <c r="AF33" s="2">
        <v>23.4</v>
      </c>
      <c r="AG33" s="2">
        <v>46.1</v>
      </c>
      <c r="AH33" s="2">
        <f>AF33-AG33</f>
        <v>-22.700000000000003</v>
      </c>
      <c r="AI33" s="2">
        <v>13</v>
      </c>
      <c r="AJ33" s="2">
        <f>(AI33/E33)*60</f>
        <v>1.2114309380824186</v>
      </c>
      <c r="AK33" s="2">
        <v>5</v>
      </c>
      <c r="AL33" s="2">
        <v>15</v>
      </c>
      <c r="AM33" s="2">
        <f>(AL33/E33)*60</f>
        <v>1.397804928556637</v>
      </c>
      <c r="AN33" s="2" t="s">
        <v>128</v>
      </c>
      <c r="AO33" s="2">
        <v>294</v>
      </c>
      <c r="AP33" s="2">
        <v>161</v>
      </c>
      <c r="AQ33" s="14">
        <f>(AP33/E33)*60</f>
        <v>15.00310623317457</v>
      </c>
    </row>
    <row r="34" spans="1:43" x14ac:dyDescent="0.35">
      <c r="A34" s="5" t="s">
        <v>311</v>
      </c>
      <c r="B34" s="5" t="s">
        <v>105</v>
      </c>
      <c r="C34" s="2" t="s">
        <v>39</v>
      </c>
      <c r="D34" s="2">
        <v>36</v>
      </c>
      <c r="E34" s="3">
        <v>531.5</v>
      </c>
      <c r="F34" s="2">
        <v>0</v>
      </c>
      <c r="G34" s="14">
        <f>(F34/E34)*60</f>
        <v>0</v>
      </c>
      <c r="H34" s="2">
        <v>4</v>
      </c>
      <c r="I34" s="14">
        <f>(H34/E34)*60</f>
        <v>0.45155221072436502</v>
      </c>
      <c r="J34" s="2">
        <v>4</v>
      </c>
      <c r="K34" s="2">
        <v>0</v>
      </c>
      <c r="L34" s="2">
        <v>34</v>
      </c>
      <c r="M34" s="2">
        <v>10</v>
      </c>
      <c r="N34" s="2">
        <v>0.53</v>
      </c>
      <c r="O34" s="2">
        <v>0.94</v>
      </c>
      <c r="P34" s="2">
        <f>(O34/E34)*60</f>
        <v>0.10611476952022576</v>
      </c>
      <c r="Q34" s="2">
        <v>0</v>
      </c>
      <c r="R34" s="2">
        <v>0</v>
      </c>
      <c r="S34" s="2">
        <v>0</v>
      </c>
      <c r="T34" s="2">
        <v>0</v>
      </c>
      <c r="U34" s="2">
        <v>12</v>
      </c>
      <c r="V34" s="12">
        <v>8</v>
      </c>
      <c r="W34" s="2">
        <v>20</v>
      </c>
      <c r="X34" s="2">
        <v>5</v>
      </c>
      <c r="Y34" s="2">
        <v>4</v>
      </c>
      <c r="Z34" s="2">
        <f>Y34-X34</f>
        <v>-1</v>
      </c>
      <c r="AA34" s="2">
        <f>(Z34/E34)*60</f>
        <v>-0.11288805268109126</v>
      </c>
      <c r="AB34" s="2">
        <v>137</v>
      </c>
      <c r="AC34" s="2">
        <f>(AB34/E34)*60</f>
        <v>15.465663217309499</v>
      </c>
      <c r="AD34" s="2">
        <v>97</v>
      </c>
      <c r="AE34" s="2">
        <f>(AD34/E34)*60</f>
        <v>10.950141110065852</v>
      </c>
      <c r="AF34" s="2">
        <v>16.399999999999999</v>
      </c>
      <c r="AG34" s="2">
        <v>35.6</v>
      </c>
      <c r="AH34" s="2">
        <f>AF34-AG34</f>
        <v>-19.200000000000003</v>
      </c>
      <c r="AI34" s="2">
        <v>0</v>
      </c>
      <c r="AJ34" s="2">
        <f>(AI34/E34)*60</f>
        <v>0</v>
      </c>
      <c r="AK34" s="2">
        <v>4</v>
      </c>
      <c r="AL34" s="2">
        <v>6</v>
      </c>
      <c r="AM34" s="2">
        <f>(AL34/E34)*60</f>
        <v>0.67732831608654753</v>
      </c>
      <c r="AN34" s="2" t="s">
        <v>312</v>
      </c>
      <c r="AO34" s="2">
        <v>296</v>
      </c>
      <c r="AP34" s="2">
        <v>131</v>
      </c>
      <c r="AQ34" s="14">
        <f>(AP34/E34)*60</f>
        <v>14.788334901222953</v>
      </c>
    </row>
    <row r="35" spans="1:43" x14ac:dyDescent="0.35">
      <c r="A35" s="5" t="s">
        <v>163</v>
      </c>
      <c r="B35" s="5" t="s">
        <v>71</v>
      </c>
      <c r="C35" s="2" t="s">
        <v>31</v>
      </c>
      <c r="D35" s="2">
        <v>36</v>
      </c>
      <c r="E35" s="3">
        <v>493.61666666666667</v>
      </c>
      <c r="F35" s="2">
        <v>9</v>
      </c>
      <c r="G35" s="14">
        <f>(F35/E35)*60</f>
        <v>1.0939663031367119</v>
      </c>
      <c r="H35" s="2">
        <v>4</v>
      </c>
      <c r="I35" s="14">
        <f>(H35/E35)*60</f>
        <v>0.48620724583853869</v>
      </c>
      <c r="J35" s="2">
        <v>13</v>
      </c>
      <c r="K35" s="2">
        <v>27</v>
      </c>
      <c r="L35" s="2">
        <v>85</v>
      </c>
      <c r="M35" s="2">
        <v>48</v>
      </c>
      <c r="N35" s="2">
        <v>2.63</v>
      </c>
      <c r="O35" s="2">
        <v>8.5</v>
      </c>
      <c r="P35" s="2">
        <f>(O35/E35)*60</f>
        <v>1.0331903974068948</v>
      </c>
      <c r="Q35" s="2">
        <v>1</v>
      </c>
      <c r="R35" s="2">
        <v>0</v>
      </c>
      <c r="S35" s="2">
        <v>1</v>
      </c>
      <c r="T35" s="2">
        <v>0</v>
      </c>
      <c r="U35" s="2">
        <v>5</v>
      </c>
      <c r="V35" s="12">
        <v>20</v>
      </c>
      <c r="W35" s="2">
        <v>15</v>
      </c>
      <c r="X35" s="2">
        <v>5</v>
      </c>
      <c r="Y35" s="2">
        <v>12</v>
      </c>
      <c r="Z35" s="2">
        <f>Y35-X35</f>
        <v>7</v>
      </c>
      <c r="AA35" s="2">
        <f>(Z35/E35)*60</f>
        <v>0.8508626802174426</v>
      </c>
      <c r="AB35" s="2">
        <v>61</v>
      </c>
      <c r="AC35" s="2">
        <f>(AB35/E35)*60</f>
        <v>7.4146604990377147</v>
      </c>
      <c r="AD35" s="2">
        <v>121</v>
      </c>
      <c r="AE35" s="2">
        <f>(AD35/E35)*60</f>
        <v>14.707769186615796</v>
      </c>
      <c r="AF35" s="2">
        <v>25.2</v>
      </c>
      <c r="AG35" s="2">
        <v>25.3</v>
      </c>
      <c r="AH35" s="2">
        <f>AF35-AG35</f>
        <v>-0.10000000000000142</v>
      </c>
      <c r="AI35" s="2">
        <v>27</v>
      </c>
      <c r="AJ35" s="2">
        <f>(AI35/E35)*60</f>
        <v>3.2818989094101356</v>
      </c>
      <c r="AK35" s="2">
        <v>9</v>
      </c>
      <c r="AL35" s="2">
        <v>10</v>
      </c>
      <c r="AM35" s="2">
        <f>(AL35/E35)*60</f>
        <v>1.2155181145963467</v>
      </c>
      <c r="AN35" s="2" t="s">
        <v>164</v>
      </c>
      <c r="AO35" s="2">
        <v>310</v>
      </c>
      <c r="AP35" s="2">
        <v>121</v>
      </c>
      <c r="AQ35" s="14">
        <f>(AP35/E35)*60</f>
        <v>14.707769186615796</v>
      </c>
    </row>
    <row r="36" spans="1:43" x14ac:dyDescent="0.35">
      <c r="A36" s="5" t="s">
        <v>147</v>
      </c>
      <c r="B36" s="5" t="s">
        <v>108</v>
      </c>
      <c r="C36" s="2" t="s">
        <v>31</v>
      </c>
      <c r="D36" s="2">
        <v>36</v>
      </c>
      <c r="E36" s="3">
        <v>576.98333333333335</v>
      </c>
      <c r="F36" s="2">
        <v>3</v>
      </c>
      <c r="G36" s="14">
        <f>(F36/E36)*60</f>
        <v>0.31196741673647416</v>
      </c>
      <c r="H36" s="2">
        <v>10</v>
      </c>
      <c r="I36" s="14">
        <f>(H36/E36)*60</f>
        <v>1.0398913891215806</v>
      </c>
      <c r="J36" s="2">
        <v>13</v>
      </c>
      <c r="K36" s="2">
        <v>6</v>
      </c>
      <c r="L36" s="2">
        <v>62</v>
      </c>
      <c r="M36" s="2">
        <v>38</v>
      </c>
      <c r="N36" s="2">
        <v>1.38</v>
      </c>
      <c r="O36" s="2">
        <v>3.47</v>
      </c>
      <c r="P36" s="2">
        <f>(O36/E36)*60</f>
        <v>0.36084231202518852</v>
      </c>
      <c r="Q36" s="2">
        <v>119</v>
      </c>
      <c r="R36" s="2">
        <v>50</v>
      </c>
      <c r="S36" s="2">
        <v>69</v>
      </c>
      <c r="T36" s="8">
        <v>0.42</v>
      </c>
      <c r="U36" s="2">
        <v>6</v>
      </c>
      <c r="V36" s="12">
        <v>21</v>
      </c>
      <c r="W36" s="2">
        <v>27</v>
      </c>
      <c r="X36" s="2">
        <v>5</v>
      </c>
      <c r="Y36" s="2">
        <v>2</v>
      </c>
      <c r="Z36" s="2">
        <f>Y36-X36</f>
        <v>-3</v>
      </c>
      <c r="AA36" s="2">
        <f>(Z36/E36)*60</f>
        <v>-0.31196741673647416</v>
      </c>
      <c r="AB36" s="2">
        <v>83</v>
      </c>
      <c r="AC36" s="2">
        <f>(AB36/E36)*60</f>
        <v>8.6310985297091189</v>
      </c>
      <c r="AD36" s="2">
        <v>129</v>
      </c>
      <c r="AE36" s="2">
        <f>(AD36/E36)*60</f>
        <v>13.414598919668389</v>
      </c>
      <c r="AF36" s="2">
        <v>21</v>
      </c>
      <c r="AG36" s="2">
        <v>36.299999999999997</v>
      </c>
      <c r="AH36" s="2">
        <f>AF36-AG36</f>
        <v>-15.299999999999997</v>
      </c>
      <c r="AI36" s="2">
        <v>6</v>
      </c>
      <c r="AJ36" s="2">
        <f>(AI36/E36)*60</f>
        <v>0.62393483347294831</v>
      </c>
      <c r="AK36" s="2">
        <v>9</v>
      </c>
      <c r="AL36" s="2">
        <v>15</v>
      </c>
      <c r="AM36" s="2">
        <f>(AL36/E36)*60</f>
        <v>1.559837083682371</v>
      </c>
      <c r="AN36" s="2" t="s">
        <v>148</v>
      </c>
      <c r="AO36" s="2">
        <v>322</v>
      </c>
      <c r="AP36" s="2">
        <v>141</v>
      </c>
      <c r="AQ36" s="14">
        <f>(AP36/E36)*60</f>
        <v>14.662468586614287</v>
      </c>
    </row>
    <row r="37" spans="1:43" x14ac:dyDescent="0.35">
      <c r="A37" s="5" t="s">
        <v>218</v>
      </c>
      <c r="B37" s="5" t="s">
        <v>78</v>
      </c>
      <c r="C37" s="2" t="s">
        <v>31</v>
      </c>
      <c r="D37" s="2">
        <v>36</v>
      </c>
      <c r="E37" s="3">
        <v>605.11666666666667</v>
      </c>
      <c r="F37" s="2">
        <v>5</v>
      </c>
      <c r="G37" s="14">
        <f>(F37/E37)*60</f>
        <v>0.49577216514721678</v>
      </c>
      <c r="H37" s="2">
        <v>6</v>
      </c>
      <c r="I37" s="14">
        <f>(H37/E37)*60</f>
        <v>0.59492659817666016</v>
      </c>
      <c r="J37" s="2">
        <v>11</v>
      </c>
      <c r="K37" s="2">
        <v>21</v>
      </c>
      <c r="L37" s="2">
        <v>115</v>
      </c>
      <c r="M37" s="2">
        <v>62</v>
      </c>
      <c r="N37" s="2">
        <v>2.48</v>
      </c>
      <c r="O37" s="2">
        <v>7.8</v>
      </c>
      <c r="P37" s="2">
        <f>(O37/E37)*60</f>
        <v>0.7734045776296582</v>
      </c>
      <c r="Q37" s="2">
        <v>1</v>
      </c>
      <c r="R37" s="2">
        <v>0</v>
      </c>
      <c r="S37" s="2">
        <v>1</v>
      </c>
      <c r="T37" s="2">
        <v>0</v>
      </c>
      <c r="U37" s="2">
        <v>3</v>
      </c>
      <c r="V37" s="12">
        <v>17</v>
      </c>
      <c r="W37" s="2">
        <v>20</v>
      </c>
      <c r="X37" s="2">
        <v>7</v>
      </c>
      <c r="Y37" s="2">
        <v>3</v>
      </c>
      <c r="Z37" s="2">
        <f>Y37-X37</f>
        <v>-4</v>
      </c>
      <c r="AA37" s="2">
        <f>(Z37/E37)*60</f>
        <v>-0.3966177321177734</v>
      </c>
      <c r="AB37" s="2">
        <v>130</v>
      </c>
      <c r="AC37" s="2">
        <f>(AB37/E37)*60</f>
        <v>12.890076293827637</v>
      </c>
      <c r="AD37" s="2">
        <v>152</v>
      </c>
      <c r="AE37" s="2">
        <f>(AD37/E37)*60</f>
        <v>15.07147382047539</v>
      </c>
      <c r="AF37" s="2">
        <v>25.5</v>
      </c>
      <c r="AG37" s="2">
        <v>35.200000000000003</v>
      </c>
      <c r="AH37" s="2">
        <f>AF37-AG37</f>
        <v>-9.7000000000000028</v>
      </c>
      <c r="AI37" s="2">
        <v>21</v>
      </c>
      <c r="AJ37" s="2">
        <f>(AI37/E37)*60</f>
        <v>2.0822430936183105</v>
      </c>
      <c r="AK37" s="2">
        <v>10</v>
      </c>
      <c r="AL37" s="2">
        <v>17</v>
      </c>
      <c r="AM37" s="2">
        <f>(AL37/E37)*60</f>
        <v>1.685625361500537</v>
      </c>
      <c r="AN37" s="2" t="s">
        <v>219</v>
      </c>
      <c r="AO37" s="2">
        <v>291</v>
      </c>
      <c r="AP37" s="2">
        <v>146</v>
      </c>
      <c r="AQ37" s="14">
        <f>(AP37/E37)*60</f>
        <v>14.476547222298731</v>
      </c>
    </row>
    <row r="38" spans="1:43" x14ac:dyDescent="0.35">
      <c r="A38" s="5" t="s">
        <v>205</v>
      </c>
      <c r="B38" s="5" t="s">
        <v>122</v>
      </c>
      <c r="C38" s="2" t="s">
        <v>31</v>
      </c>
      <c r="D38" s="2">
        <v>36</v>
      </c>
      <c r="E38" s="3">
        <v>667.41666666666663</v>
      </c>
      <c r="F38" s="2">
        <v>4</v>
      </c>
      <c r="G38" s="14">
        <f>(F38/E38)*60</f>
        <v>0.3595954551129979</v>
      </c>
      <c r="H38" s="2">
        <v>4</v>
      </c>
      <c r="I38" s="14">
        <f>(H38/E38)*60</f>
        <v>0.3595954551129979</v>
      </c>
      <c r="J38" s="2">
        <v>8</v>
      </c>
      <c r="K38" s="2">
        <v>22</v>
      </c>
      <c r="L38" s="2">
        <v>119</v>
      </c>
      <c r="M38" s="2">
        <v>72</v>
      </c>
      <c r="N38" s="2">
        <v>2.85</v>
      </c>
      <c r="O38" s="2">
        <v>9.3000000000000007</v>
      </c>
      <c r="P38" s="2">
        <f>(O38/E38)*60</f>
        <v>0.83605943313772013</v>
      </c>
      <c r="Q38" s="2">
        <v>541</v>
      </c>
      <c r="R38" s="2">
        <v>245</v>
      </c>
      <c r="S38" s="2">
        <v>296</v>
      </c>
      <c r="T38" s="7">
        <v>0.45300000000000001</v>
      </c>
      <c r="U38" s="2">
        <v>10</v>
      </c>
      <c r="V38" s="12">
        <v>18</v>
      </c>
      <c r="W38" s="2">
        <v>28</v>
      </c>
      <c r="X38" s="2">
        <v>11</v>
      </c>
      <c r="Y38" s="2">
        <v>10</v>
      </c>
      <c r="Z38" s="2">
        <f>Y38-X38</f>
        <v>-1</v>
      </c>
      <c r="AA38" s="2">
        <f>(Z38/E38)*60</f>
        <v>-8.9898863778249474E-2</v>
      </c>
      <c r="AB38" s="2">
        <v>116</v>
      </c>
      <c r="AC38" s="2">
        <f>(AB38/E38)*60</f>
        <v>10.428268198276939</v>
      </c>
      <c r="AD38" s="2">
        <v>108</v>
      </c>
      <c r="AE38" s="2">
        <f>(AD38/E38)*60</f>
        <v>9.7090772880509437</v>
      </c>
      <c r="AF38" s="2">
        <v>36.299999999999997</v>
      </c>
      <c r="AG38" s="2">
        <v>39.6</v>
      </c>
      <c r="AH38" s="2">
        <f>AF38-AG38</f>
        <v>-3.3000000000000043</v>
      </c>
      <c r="AI38" s="2">
        <v>22</v>
      </c>
      <c r="AJ38" s="2">
        <f>(AI38/E38)*60</f>
        <v>1.9777750031214887</v>
      </c>
      <c r="AK38" s="2">
        <v>13</v>
      </c>
      <c r="AL38" s="2">
        <v>21</v>
      </c>
      <c r="AM38" s="2">
        <f>(AL38/E38)*60</f>
        <v>1.8878761393432391</v>
      </c>
      <c r="AN38" s="2" t="s">
        <v>206</v>
      </c>
      <c r="AO38" s="2">
        <v>324</v>
      </c>
      <c r="AP38" s="2">
        <v>161</v>
      </c>
      <c r="AQ38" s="14">
        <f>(AP38/E38)*60</f>
        <v>14.473717068298166</v>
      </c>
    </row>
    <row r="39" spans="1:43" x14ac:dyDescent="0.35">
      <c r="A39" s="5" t="s">
        <v>299</v>
      </c>
      <c r="B39" s="5" t="s">
        <v>122</v>
      </c>
      <c r="C39" s="2" t="s">
        <v>39</v>
      </c>
      <c r="D39" s="2">
        <v>36</v>
      </c>
      <c r="E39" s="3">
        <v>489.98333333333335</v>
      </c>
      <c r="F39" s="2">
        <v>0</v>
      </c>
      <c r="G39" s="14">
        <f>(F39/E39)*60</f>
        <v>0</v>
      </c>
      <c r="H39" s="2">
        <v>1</v>
      </c>
      <c r="I39" s="14">
        <f>(H39/E39)*60</f>
        <v>0.12245314466478451</v>
      </c>
      <c r="J39" s="2">
        <v>1</v>
      </c>
      <c r="K39" s="2">
        <v>1</v>
      </c>
      <c r="L39" s="2">
        <v>38</v>
      </c>
      <c r="M39" s="2">
        <v>13</v>
      </c>
      <c r="N39" s="2">
        <v>0.54</v>
      </c>
      <c r="O39" s="2">
        <v>1.07</v>
      </c>
      <c r="P39" s="2">
        <f>(O39/E39)*60</f>
        <v>0.13102486479131945</v>
      </c>
      <c r="Q39" s="2">
        <v>0</v>
      </c>
      <c r="R39" s="2">
        <v>0</v>
      </c>
      <c r="S39" s="2">
        <v>0</v>
      </c>
      <c r="T39" s="2">
        <v>0</v>
      </c>
      <c r="U39" s="2">
        <v>14</v>
      </c>
      <c r="V39" s="12">
        <v>10</v>
      </c>
      <c r="W39" s="2">
        <v>24</v>
      </c>
      <c r="X39" s="2">
        <v>6</v>
      </c>
      <c r="Y39" s="2">
        <v>2</v>
      </c>
      <c r="Z39" s="2">
        <f>Y39-X39</f>
        <v>-4</v>
      </c>
      <c r="AA39" s="2">
        <f>(Z39/E39)*60</f>
        <v>-0.48981257865913802</v>
      </c>
      <c r="AB39" s="2">
        <v>126</v>
      </c>
      <c r="AC39" s="2">
        <f>(AB39/E39)*60</f>
        <v>15.429096227762848</v>
      </c>
      <c r="AD39" s="2">
        <v>96</v>
      </c>
      <c r="AE39" s="2">
        <f>(AD39/E39)*60</f>
        <v>11.755501887819314</v>
      </c>
      <c r="AF39" s="2">
        <v>22.2</v>
      </c>
      <c r="AG39" s="2">
        <v>31.9</v>
      </c>
      <c r="AH39" s="2">
        <f>AF39-AG39</f>
        <v>-9.6999999999999993</v>
      </c>
      <c r="AI39" s="2">
        <v>1</v>
      </c>
      <c r="AJ39" s="2">
        <f>(AI39/E39)*60</f>
        <v>0.12245314466478451</v>
      </c>
      <c r="AK39" s="2">
        <v>2</v>
      </c>
      <c r="AL39" s="2">
        <v>6</v>
      </c>
      <c r="AM39" s="2">
        <f>(AL39/E39)*60</f>
        <v>0.73471886798870711</v>
      </c>
      <c r="AN39" s="2" t="s">
        <v>300</v>
      </c>
      <c r="AO39" s="2">
        <v>237</v>
      </c>
      <c r="AP39" s="2">
        <v>116</v>
      </c>
      <c r="AQ39" s="14">
        <f>(AP39/E39)*60</f>
        <v>14.204564781115003</v>
      </c>
    </row>
    <row r="40" spans="1:43" x14ac:dyDescent="0.35">
      <c r="A40" s="5" t="s">
        <v>157</v>
      </c>
      <c r="B40" s="5" t="s">
        <v>60</v>
      </c>
      <c r="C40" s="2" t="s">
        <v>39</v>
      </c>
      <c r="D40" s="2">
        <v>36</v>
      </c>
      <c r="E40" s="3">
        <v>697.63333333333333</v>
      </c>
      <c r="F40" s="2">
        <v>1</v>
      </c>
      <c r="G40" s="14">
        <f>(F40/E40)*60</f>
        <v>8.6005064742701517E-2</v>
      </c>
      <c r="H40" s="2">
        <v>8</v>
      </c>
      <c r="I40" s="14">
        <f>(H40/E40)*60</f>
        <v>0.68804051794161214</v>
      </c>
      <c r="J40" s="2">
        <v>9</v>
      </c>
      <c r="K40" s="2">
        <v>2</v>
      </c>
      <c r="L40" s="2">
        <v>104</v>
      </c>
      <c r="M40" s="2">
        <v>51</v>
      </c>
      <c r="N40" s="2">
        <v>0.71</v>
      </c>
      <c r="O40" s="2">
        <v>2.4300000000000002</v>
      </c>
      <c r="P40" s="2">
        <f>(O40/E40)*60</f>
        <v>0.2089923073247647</v>
      </c>
      <c r="Q40" s="2">
        <v>0</v>
      </c>
      <c r="R40" s="2">
        <v>0</v>
      </c>
      <c r="S40" s="2">
        <v>0</v>
      </c>
      <c r="T40" s="2">
        <v>0</v>
      </c>
      <c r="U40" s="2">
        <v>6</v>
      </c>
      <c r="V40" s="12">
        <v>21</v>
      </c>
      <c r="W40" s="2">
        <v>27</v>
      </c>
      <c r="X40" s="2">
        <v>6</v>
      </c>
      <c r="Y40" s="2">
        <v>3</v>
      </c>
      <c r="Z40" s="2">
        <f>Y40-X40</f>
        <v>-3</v>
      </c>
      <c r="AA40" s="2">
        <f>(Z40/E40)*60</f>
        <v>-0.25801519422810454</v>
      </c>
      <c r="AB40" s="2">
        <v>238</v>
      </c>
      <c r="AC40" s="2">
        <f>(AB40/E40)*60</f>
        <v>20.46920540876296</v>
      </c>
      <c r="AD40" s="2">
        <v>121</v>
      </c>
      <c r="AE40" s="2">
        <f>(AD40/E40)*60</f>
        <v>10.406612833866882</v>
      </c>
      <c r="AF40" s="2">
        <v>25.6</v>
      </c>
      <c r="AG40" s="2">
        <v>36.9</v>
      </c>
      <c r="AH40" s="2">
        <f>AF40-AG40</f>
        <v>-11.299999999999997</v>
      </c>
      <c r="AI40" s="2">
        <v>2</v>
      </c>
      <c r="AJ40" s="2">
        <f>(AI40/E40)*60</f>
        <v>0.17201012948540303</v>
      </c>
      <c r="AK40" s="2">
        <v>4</v>
      </c>
      <c r="AL40" s="2">
        <v>7</v>
      </c>
      <c r="AM40" s="2">
        <f>(AL40/E40)*60</f>
        <v>0.60203545319891061</v>
      </c>
      <c r="AN40" s="2" t="s">
        <v>158</v>
      </c>
      <c r="AO40" s="2">
        <v>285</v>
      </c>
      <c r="AP40" s="2">
        <v>162</v>
      </c>
      <c r="AQ40" s="14">
        <f>(AP40/E40)*60</f>
        <v>13.932820488317645</v>
      </c>
    </row>
    <row r="41" spans="1:43" x14ac:dyDescent="0.35">
      <c r="A41" s="5" t="s">
        <v>352</v>
      </c>
      <c r="B41" s="5" t="s">
        <v>122</v>
      </c>
      <c r="C41" s="2" t="s">
        <v>31</v>
      </c>
      <c r="D41" s="2">
        <v>36</v>
      </c>
      <c r="E41" s="3">
        <v>408.98333333333335</v>
      </c>
      <c r="F41" s="2">
        <v>0</v>
      </c>
      <c r="G41" s="14">
        <f>(F41/E41)*60</f>
        <v>0</v>
      </c>
      <c r="H41" s="2">
        <v>2</v>
      </c>
      <c r="I41" s="14">
        <f>(H41/E41)*60</f>
        <v>0.29341048942499692</v>
      </c>
      <c r="J41" s="2">
        <v>2</v>
      </c>
      <c r="K41" s="2">
        <v>3</v>
      </c>
      <c r="L41" s="2">
        <v>19</v>
      </c>
      <c r="M41" s="2">
        <v>5</v>
      </c>
      <c r="N41" s="2">
        <v>0.79</v>
      </c>
      <c r="O41" s="2">
        <v>1.1499999999999999</v>
      </c>
      <c r="P41" s="2">
        <f>(O41/E41)*60</f>
        <v>0.16871103141937321</v>
      </c>
      <c r="Q41" s="2">
        <v>219</v>
      </c>
      <c r="R41" s="2">
        <v>77</v>
      </c>
      <c r="S41" s="2">
        <v>142</v>
      </c>
      <c r="T41" s="7">
        <v>0.35199999999999998</v>
      </c>
      <c r="U41" s="2">
        <v>10</v>
      </c>
      <c r="V41" s="12">
        <v>5</v>
      </c>
      <c r="W41" s="2">
        <v>15</v>
      </c>
      <c r="X41" s="2">
        <v>2</v>
      </c>
      <c r="Y41" s="2">
        <v>5</v>
      </c>
      <c r="Z41" s="2">
        <f>Y41-X41</f>
        <v>3</v>
      </c>
      <c r="AA41" s="2">
        <f>(Z41/E41)*60</f>
        <v>0.44011573413749544</v>
      </c>
      <c r="AB41" s="2">
        <v>63</v>
      </c>
      <c r="AC41" s="2">
        <f>(AB41/E41)*60</f>
        <v>9.2424304168874034</v>
      </c>
      <c r="AD41" s="2">
        <v>75</v>
      </c>
      <c r="AE41" s="2">
        <f>(AD41/E41)*60</f>
        <v>11.002893353437385</v>
      </c>
      <c r="AF41" s="2">
        <v>10.7</v>
      </c>
      <c r="AG41" s="2">
        <v>27.1</v>
      </c>
      <c r="AH41" s="2">
        <f>AF41-AG41</f>
        <v>-16.400000000000002</v>
      </c>
      <c r="AI41" s="2">
        <v>3</v>
      </c>
      <c r="AJ41" s="2">
        <f>(AI41/E41)*60</f>
        <v>0.44011573413749544</v>
      </c>
      <c r="AK41" s="2">
        <v>2</v>
      </c>
      <c r="AL41" s="2">
        <v>5</v>
      </c>
      <c r="AM41" s="2">
        <f>(AL41/E41)*60</f>
        <v>0.73352622356249231</v>
      </c>
      <c r="AN41" s="2" t="s">
        <v>353</v>
      </c>
      <c r="AO41" s="2">
        <v>228</v>
      </c>
      <c r="AP41" s="2">
        <v>94</v>
      </c>
      <c r="AQ41" s="14">
        <f>(AP41/E41)*60</f>
        <v>13.790293002974856</v>
      </c>
    </row>
    <row r="42" spans="1:43" x14ac:dyDescent="0.35">
      <c r="A42" s="5" t="s">
        <v>41</v>
      </c>
      <c r="B42" s="5" t="s">
        <v>30</v>
      </c>
      <c r="C42" s="2" t="s">
        <v>31</v>
      </c>
      <c r="D42" s="2">
        <v>36</v>
      </c>
      <c r="E42" s="3">
        <v>583.45000000000005</v>
      </c>
      <c r="F42" s="2">
        <v>14</v>
      </c>
      <c r="G42" s="14">
        <f>(F42/E42)*60</f>
        <v>1.4397120575884821</v>
      </c>
      <c r="H42" s="2">
        <v>7</v>
      </c>
      <c r="I42" s="14">
        <f>(H42/E42)*60</f>
        <v>0.71985602879424104</v>
      </c>
      <c r="J42" s="2">
        <v>21</v>
      </c>
      <c r="K42" s="2">
        <v>19</v>
      </c>
      <c r="L42" s="2">
        <v>84</v>
      </c>
      <c r="M42" s="2">
        <v>50</v>
      </c>
      <c r="N42" s="2">
        <v>2.73</v>
      </c>
      <c r="O42" s="2">
        <v>7.3</v>
      </c>
      <c r="P42" s="2">
        <f>(O42/E42)*60</f>
        <v>0.75070700145685143</v>
      </c>
      <c r="Q42" s="2">
        <v>127</v>
      </c>
      <c r="R42" s="2">
        <v>54</v>
      </c>
      <c r="S42" s="2">
        <v>73</v>
      </c>
      <c r="T42" s="7">
        <v>0.42499999999999999</v>
      </c>
      <c r="U42" s="2">
        <v>24</v>
      </c>
      <c r="V42" s="12">
        <v>40</v>
      </c>
      <c r="W42" s="2">
        <v>16</v>
      </c>
      <c r="X42" s="2">
        <v>4</v>
      </c>
      <c r="Y42" s="2">
        <v>4</v>
      </c>
      <c r="Z42" s="2">
        <f>Y42-X42</f>
        <v>0</v>
      </c>
      <c r="AA42" s="2">
        <f>(Z42/E42)*60</f>
        <v>0</v>
      </c>
      <c r="AB42" s="2">
        <v>49</v>
      </c>
      <c r="AC42" s="2">
        <f>(AB42/E42)*60</f>
        <v>5.0389922015596875</v>
      </c>
      <c r="AD42" s="2">
        <v>94</v>
      </c>
      <c r="AE42" s="2">
        <f>(AD42/E42)*60</f>
        <v>9.6666381009512374</v>
      </c>
      <c r="AF42" s="2">
        <v>32.6</v>
      </c>
      <c r="AG42" s="2">
        <v>28.8</v>
      </c>
      <c r="AH42" s="2">
        <f>AF42-AG42</f>
        <v>3.8000000000000007</v>
      </c>
      <c r="AI42" s="2">
        <v>19</v>
      </c>
      <c r="AJ42" s="2">
        <f>(AI42/E42)*60</f>
        <v>1.9538949352986543</v>
      </c>
      <c r="AK42" s="2">
        <v>7</v>
      </c>
      <c r="AL42" s="2">
        <v>12</v>
      </c>
      <c r="AM42" s="2">
        <f>(AL42/E42)*60</f>
        <v>1.2340389065044133</v>
      </c>
      <c r="AN42" s="2" t="s">
        <v>42</v>
      </c>
      <c r="AO42" s="2">
        <v>311</v>
      </c>
      <c r="AP42" s="2">
        <v>133</v>
      </c>
      <c r="AQ42" s="14">
        <f>(AP42/E42)*60</f>
        <v>13.677264547090582</v>
      </c>
    </row>
    <row r="43" spans="1:43" x14ac:dyDescent="0.35">
      <c r="A43" s="5" t="s">
        <v>225</v>
      </c>
      <c r="B43" s="5" t="s">
        <v>60</v>
      </c>
      <c r="C43" s="2" t="s">
        <v>31</v>
      </c>
      <c r="D43" s="2">
        <v>36</v>
      </c>
      <c r="E43" s="3">
        <v>527.38333333333333</v>
      </c>
      <c r="F43" s="2">
        <v>7</v>
      </c>
      <c r="G43" s="14">
        <f>(F43/E43)*60</f>
        <v>0.79638466643491457</v>
      </c>
      <c r="H43" s="2">
        <v>1</v>
      </c>
      <c r="I43" s="14">
        <f>(H43/E43)*60</f>
        <v>0.11376923806213066</v>
      </c>
      <c r="J43" s="2">
        <v>8</v>
      </c>
      <c r="K43" s="2">
        <v>18</v>
      </c>
      <c r="L43" s="2">
        <v>68</v>
      </c>
      <c r="M43" s="2">
        <v>44</v>
      </c>
      <c r="N43" s="2">
        <v>2.19</v>
      </c>
      <c r="O43" s="2">
        <v>5.5</v>
      </c>
      <c r="P43" s="2">
        <f>(O43/E43)*60</f>
        <v>0.62573080934171854</v>
      </c>
      <c r="Q43" s="2">
        <v>13</v>
      </c>
      <c r="R43" s="2">
        <v>4</v>
      </c>
      <c r="S43" s="2">
        <v>9</v>
      </c>
      <c r="T43" s="7">
        <v>0.308</v>
      </c>
      <c r="U43" s="2">
        <v>5</v>
      </c>
      <c r="V43" s="12">
        <v>16</v>
      </c>
      <c r="W43" s="2">
        <v>21</v>
      </c>
      <c r="X43" s="2">
        <v>6</v>
      </c>
      <c r="Y43" s="2">
        <v>3</v>
      </c>
      <c r="Z43" s="2">
        <f>Y43-X43</f>
        <v>-3</v>
      </c>
      <c r="AA43" s="2">
        <f>(Z43/E43)*60</f>
        <v>-0.34130771418639194</v>
      </c>
      <c r="AB43" s="2">
        <v>49</v>
      </c>
      <c r="AC43" s="2">
        <f>(AB43/E43)*60</f>
        <v>5.5746926650444015</v>
      </c>
      <c r="AD43" s="2">
        <v>121</v>
      </c>
      <c r="AE43" s="2">
        <f>(AD43/E43)*60</f>
        <v>13.766077805517808</v>
      </c>
      <c r="AF43" s="2">
        <v>19</v>
      </c>
      <c r="AG43" s="2">
        <v>32.5</v>
      </c>
      <c r="AH43" s="2">
        <f>AF43-AG43</f>
        <v>-13.5</v>
      </c>
      <c r="AI43" s="2">
        <v>18</v>
      </c>
      <c r="AJ43" s="2">
        <f>(AI43/E43)*60</f>
        <v>2.0478462851183519</v>
      </c>
      <c r="AK43" s="2">
        <v>3</v>
      </c>
      <c r="AL43" s="2">
        <v>3</v>
      </c>
      <c r="AM43" s="2">
        <f>(AL43/E43)*60</f>
        <v>0.34130771418639194</v>
      </c>
      <c r="AN43" s="2" t="s">
        <v>226</v>
      </c>
      <c r="AO43" s="2">
        <v>269</v>
      </c>
      <c r="AP43" s="2">
        <v>119</v>
      </c>
      <c r="AQ43" s="14">
        <f>(AP43/E43)*60</f>
        <v>13.538539329393547</v>
      </c>
    </row>
    <row r="44" spans="1:43" x14ac:dyDescent="0.35">
      <c r="A44" s="5" t="s">
        <v>29</v>
      </c>
      <c r="B44" s="5" t="s">
        <v>30</v>
      </c>
      <c r="C44" s="2" t="s">
        <v>31</v>
      </c>
      <c r="D44" s="2">
        <v>36</v>
      </c>
      <c r="E44" s="3">
        <v>677.13333333333333</v>
      </c>
      <c r="F44" s="2">
        <v>9</v>
      </c>
      <c r="G44" s="14">
        <f>(F44/E44)*60</f>
        <v>0.79747957073939146</v>
      </c>
      <c r="H44" s="2">
        <v>18</v>
      </c>
      <c r="I44" s="14">
        <f>(H44/E44)*60</f>
        <v>1.5949591414787829</v>
      </c>
      <c r="J44" s="2">
        <v>27</v>
      </c>
      <c r="K44" s="2">
        <v>35</v>
      </c>
      <c r="L44" s="2">
        <v>175</v>
      </c>
      <c r="M44" s="2">
        <v>103</v>
      </c>
      <c r="N44" s="2">
        <v>2.48</v>
      </c>
      <c r="O44" s="2">
        <v>13.9</v>
      </c>
      <c r="P44" s="2">
        <f>(O44/E44)*60</f>
        <v>1.2316628925863937</v>
      </c>
      <c r="Q44" s="2">
        <v>9</v>
      </c>
      <c r="R44" s="2">
        <v>6</v>
      </c>
      <c r="S44" s="2">
        <v>3</v>
      </c>
      <c r="T44" s="7">
        <v>0.66700000000000004</v>
      </c>
      <c r="U44" s="2">
        <v>28</v>
      </c>
      <c r="V44" s="12">
        <v>48</v>
      </c>
      <c r="W44" s="2">
        <v>20</v>
      </c>
      <c r="X44" s="2">
        <v>10</v>
      </c>
      <c r="Y44" s="2">
        <v>11</v>
      </c>
      <c r="Z44" s="2">
        <f>Y44-X44</f>
        <v>1</v>
      </c>
      <c r="AA44" s="2">
        <f>(Z44/E44)*60</f>
        <v>8.860884119326573E-2</v>
      </c>
      <c r="AB44" s="2">
        <v>128</v>
      </c>
      <c r="AC44" s="2">
        <f>(AB44/E44)*60</f>
        <v>11.341931672738014</v>
      </c>
      <c r="AD44" s="2">
        <v>152</v>
      </c>
      <c r="AE44" s="2">
        <f>(AD44/E44)*60</f>
        <v>13.468543861376391</v>
      </c>
      <c r="AF44" s="2">
        <v>43.8</v>
      </c>
      <c r="AG44" s="2">
        <v>28.2</v>
      </c>
      <c r="AH44" s="2">
        <f>AF44-AG44</f>
        <v>15.599999999999998</v>
      </c>
      <c r="AI44" s="2">
        <v>35</v>
      </c>
      <c r="AJ44" s="2">
        <f>(AI44/E44)*60</f>
        <v>3.1013094417643003</v>
      </c>
      <c r="AK44" s="2">
        <v>16</v>
      </c>
      <c r="AL44" s="2">
        <v>33</v>
      </c>
      <c r="AM44" s="2">
        <f>(AL44/E44)*60</f>
        <v>2.9240917593777693</v>
      </c>
      <c r="AN44" s="2" t="s">
        <v>32</v>
      </c>
      <c r="AO44" s="2">
        <v>333</v>
      </c>
      <c r="AP44" s="2">
        <v>152</v>
      </c>
      <c r="AQ44" s="14">
        <f>(AP44/E44)*60</f>
        <v>13.468543861376391</v>
      </c>
    </row>
    <row r="45" spans="1:43" x14ac:dyDescent="0.35">
      <c r="A45" s="5" t="s">
        <v>161</v>
      </c>
      <c r="B45" s="5" t="s">
        <v>53</v>
      </c>
      <c r="C45" s="2" t="s">
        <v>39</v>
      </c>
      <c r="D45" s="2">
        <v>36</v>
      </c>
      <c r="E45" s="3">
        <v>534.1</v>
      </c>
      <c r="F45" s="2">
        <v>0</v>
      </c>
      <c r="G45" s="14">
        <f>(F45/E45)*60</f>
        <v>0</v>
      </c>
      <c r="H45" s="2">
        <v>3</v>
      </c>
      <c r="I45" s="14">
        <f>(H45/E45)*60</f>
        <v>0.33701554016101853</v>
      </c>
      <c r="J45" s="2">
        <v>3</v>
      </c>
      <c r="K45" s="2">
        <v>1</v>
      </c>
      <c r="L45" s="2">
        <v>87</v>
      </c>
      <c r="M45" s="2">
        <v>38</v>
      </c>
      <c r="N45" s="2">
        <v>0.77</v>
      </c>
      <c r="O45" s="2">
        <v>2.0499999999999998</v>
      </c>
      <c r="P45" s="2">
        <f>(O45/E45)*60</f>
        <v>0.23029395244336262</v>
      </c>
      <c r="Q45" s="2">
        <v>0</v>
      </c>
      <c r="R45" s="2">
        <v>0</v>
      </c>
      <c r="S45" s="2">
        <v>0</v>
      </c>
      <c r="T45" s="2">
        <v>0</v>
      </c>
      <c r="U45" s="2">
        <v>4</v>
      </c>
      <c r="V45" s="12">
        <v>21</v>
      </c>
      <c r="W45" s="2">
        <v>17</v>
      </c>
      <c r="X45" s="2">
        <v>6</v>
      </c>
      <c r="Y45" s="2">
        <v>1</v>
      </c>
      <c r="Z45" s="2">
        <f>Y45-X45</f>
        <v>-5</v>
      </c>
      <c r="AA45" s="2">
        <f>(Z45/E45)*60</f>
        <v>-0.56169256693503089</v>
      </c>
      <c r="AB45" s="2">
        <v>149</v>
      </c>
      <c r="AC45" s="2">
        <f>(AB45/E45)*60</f>
        <v>16.738438494663921</v>
      </c>
      <c r="AD45" s="2">
        <v>81</v>
      </c>
      <c r="AE45" s="2">
        <f>(AD45/E45)*60</f>
        <v>9.0994195843474994</v>
      </c>
      <c r="AF45" s="2">
        <v>32.200000000000003</v>
      </c>
      <c r="AG45" s="2">
        <v>23.6</v>
      </c>
      <c r="AH45" s="2">
        <f>AF45-AG45</f>
        <v>8.6000000000000014</v>
      </c>
      <c r="AI45" s="2">
        <v>1</v>
      </c>
      <c r="AJ45" s="2">
        <f>(AI45/E45)*60</f>
        <v>0.11233851338700616</v>
      </c>
      <c r="AK45" s="2">
        <v>3</v>
      </c>
      <c r="AL45" s="2">
        <v>14</v>
      </c>
      <c r="AM45" s="2">
        <f>(AL45/E45)*60</f>
        <v>1.5727391874180865</v>
      </c>
      <c r="AN45" s="2" t="s">
        <v>162</v>
      </c>
      <c r="AO45" s="2">
        <v>216</v>
      </c>
      <c r="AP45" s="2">
        <v>118</v>
      </c>
      <c r="AQ45" s="14">
        <f>(AP45/E45)*60</f>
        <v>13.255944579666728</v>
      </c>
    </row>
    <row r="46" spans="1:43" x14ac:dyDescent="0.35">
      <c r="A46" s="5" t="s">
        <v>151</v>
      </c>
      <c r="B46" s="5" t="s">
        <v>71</v>
      </c>
      <c r="C46" s="2" t="s">
        <v>31</v>
      </c>
      <c r="D46" s="2">
        <v>36</v>
      </c>
      <c r="E46" s="3">
        <v>465.23333333333335</v>
      </c>
      <c r="F46" s="2">
        <v>1</v>
      </c>
      <c r="G46" s="14">
        <f>(F46/E46)*60</f>
        <v>0.12896754316830264</v>
      </c>
      <c r="H46" s="2">
        <v>7</v>
      </c>
      <c r="I46" s="14">
        <f>(H46/E46)*60</f>
        <v>0.90277280217811851</v>
      </c>
      <c r="J46" s="2">
        <v>8</v>
      </c>
      <c r="K46" s="2">
        <v>14</v>
      </c>
      <c r="L46" s="2">
        <v>59</v>
      </c>
      <c r="M46" s="2">
        <v>31</v>
      </c>
      <c r="N46" s="2">
        <v>2.59</v>
      </c>
      <c r="O46" s="2">
        <v>4.59</v>
      </c>
      <c r="P46" s="2">
        <f>(O46/E46)*60</f>
        <v>0.59196102314250909</v>
      </c>
      <c r="Q46" s="2">
        <v>3</v>
      </c>
      <c r="R46" s="2">
        <v>0</v>
      </c>
      <c r="S46" s="2">
        <v>3</v>
      </c>
      <c r="T46" s="2">
        <v>0</v>
      </c>
      <c r="U46" s="2">
        <v>0</v>
      </c>
      <c r="V46" s="12">
        <v>21</v>
      </c>
      <c r="W46" s="2">
        <v>21</v>
      </c>
      <c r="X46" s="2">
        <v>3</v>
      </c>
      <c r="Y46" s="2">
        <v>3</v>
      </c>
      <c r="Z46" s="2">
        <f>Y46-X46</f>
        <v>0</v>
      </c>
      <c r="AA46" s="2">
        <f>(Z46/E46)*60</f>
        <v>0</v>
      </c>
      <c r="AB46" s="2">
        <v>68</v>
      </c>
      <c r="AC46" s="2">
        <f>(AB46/E46)*60</f>
        <v>8.7697929354445794</v>
      </c>
      <c r="AD46" s="2">
        <v>98</v>
      </c>
      <c r="AE46" s="2">
        <f>(AD46/E46)*60</f>
        <v>12.638819230493658</v>
      </c>
      <c r="AF46" s="2">
        <v>21.4</v>
      </c>
      <c r="AG46" s="2">
        <v>24.5</v>
      </c>
      <c r="AH46" s="2">
        <f>AF46-AG46</f>
        <v>-3.1000000000000014</v>
      </c>
      <c r="AI46" s="2">
        <v>14</v>
      </c>
      <c r="AJ46" s="2">
        <f>(AI46/E46)*60</f>
        <v>1.805545604356237</v>
      </c>
      <c r="AK46" s="2">
        <v>14</v>
      </c>
      <c r="AL46" s="2">
        <v>10</v>
      </c>
      <c r="AM46" s="2">
        <f>(AL46/E46)*60</f>
        <v>1.2896754316830266</v>
      </c>
      <c r="AN46" s="2" t="s">
        <v>152</v>
      </c>
      <c r="AO46" s="2">
        <v>223</v>
      </c>
      <c r="AP46" s="2">
        <v>102</v>
      </c>
      <c r="AQ46" s="14">
        <f>(AP46/E46)*60</f>
        <v>13.154689403166868</v>
      </c>
    </row>
    <row r="47" spans="1:43" x14ac:dyDescent="0.35">
      <c r="A47" s="5" t="s">
        <v>92</v>
      </c>
      <c r="B47" s="5" t="s">
        <v>71</v>
      </c>
      <c r="C47" s="2" t="s">
        <v>39</v>
      </c>
      <c r="D47" s="2">
        <v>36</v>
      </c>
      <c r="E47" s="3">
        <v>673.11666666666667</v>
      </c>
      <c r="F47" s="2">
        <v>3</v>
      </c>
      <c r="G47" s="14">
        <f>(F47/E47)*60</f>
        <v>0.26741278134053037</v>
      </c>
      <c r="H47" s="2">
        <v>6</v>
      </c>
      <c r="I47" s="14">
        <f>(H47/E47)*60</f>
        <v>0.53482556268106074</v>
      </c>
      <c r="J47" s="2">
        <v>9</v>
      </c>
      <c r="K47" s="2">
        <v>0</v>
      </c>
      <c r="L47" s="2">
        <v>164</v>
      </c>
      <c r="M47" s="2">
        <v>65</v>
      </c>
      <c r="N47" s="2">
        <v>0.57999999999999996</v>
      </c>
      <c r="O47" s="2">
        <v>2.85</v>
      </c>
      <c r="P47" s="2">
        <f>(O47/E47)*60</f>
        <v>0.25404214227350386</v>
      </c>
      <c r="Q47" s="2">
        <v>0</v>
      </c>
      <c r="R47" s="2">
        <v>0</v>
      </c>
      <c r="S47" s="2">
        <v>0</v>
      </c>
      <c r="T47" s="2">
        <v>0</v>
      </c>
      <c r="U47" s="2">
        <v>14</v>
      </c>
      <c r="V47" s="12">
        <v>28</v>
      </c>
      <c r="W47" s="2">
        <v>14</v>
      </c>
      <c r="X47" s="2">
        <v>7</v>
      </c>
      <c r="Y47" s="2">
        <v>0</v>
      </c>
      <c r="Z47" s="2">
        <f>Y47-X47</f>
        <v>-7</v>
      </c>
      <c r="AA47" s="2">
        <f>(Z47/E47)*60</f>
        <v>-0.62396315646123746</v>
      </c>
      <c r="AB47" s="2">
        <v>213</v>
      </c>
      <c r="AC47" s="2">
        <f>(AB47/E47)*60</f>
        <v>18.986307475177657</v>
      </c>
      <c r="AD47" s="2">
        <v>114</v>
      </c>
      <c r="AE47" s="2">
        <f>(AD47/E47)*60</f>
        <v>10.161685690940153</v>
      </c>
      <c r="AF47" s="2">
        <v>35.6</v>
      </c>
      <c r="AG47" s="2">
        <v>31</v>
      </c>
      <c r="AH47" s="2">
        <f>AF47-AG47</f>
        <v>4.6000000000000014</v>
      </c>
      <c r="AI47" s="2">
        <v>0</v>
      </c>
      <c r="AJ47" s="2">
        <f>(AI47/E47)*60</f>
        <v>0</v>
      </c>
      <c r="AK47" s="2">
        <v>9</v>
      </c>
      <c r="AL47" s="2">
        <v>12</v>
      </c>
      <c r="AM47" s="2">
        <f>(AL47/E47)*60</f>
        <v>1.0696511253621215</v>
      </c>
      <c r="AN47" s="2" t="s">
        <v>93</v>
      </c>
      <c r="AO47" s="2">
        <v>266</v>
      </c>
      <c r="AP47" s="2">
        <v>146</v>
      </c>
      <c r="AQ47" s="14">
        <f>(AP47/E47)*60</f>
        <v>13.014088691905812</v>
      </c>
    </row>
    <row r="48" spans="1:43" x14ac:dyDescent="0.35">
      <c r="A48" s="5" t="s">
        <v>112</v>
      </c>
      <c r="B48" s="5" t="s">
        <v>30</v>
      </c>
      <c r="C48" s="2" t="s">
        <v>39</v>
      </c>
      <c r="D48" s="2">
        <v>36</v>
      </c>
      <c r="E48" s="3">
        <v>549.9666666666667</v>
      </c>
      <c r="F48" s="2">
        <v>1</v>
      </c>
      <c r="G48" s="14">
        <f>(F48/E48)*60</f>
        <v>0.10909752106188253</v>
      </c>
      <c r="H48" s="2">
        <v>5</v>
      </c>
      <c r="I48" s="14">
        <f>(H48/E48)*60</f>
        <v>0.54548760530941265</v>
      </c>
      <c r="J48" s="2">
        <v>6</v>
      </c>
      <c r="K48" s="2">
        <v>3</v>
      </c>
      <c r="L48" s="2">
        <v>55</v>
      </c>
      <c r="M48" s="2">
        <v>21</v>
      </c>
      <c r="N48" s="2">
        <v>0.75</v>
      </c>
      <c r="O48" s="2">
        <v>1.87</v>
      </c>
      <c r="P48" s="2">
        <f>(O48/E48)*60</f>
        <v>0.20401236438572035</v>
      </c>
      <c r="Q48" s="2">
        <v>1</v>
      </c>
      <c r="R48" s="2">
        <v>0</v>
      </c>
      <c r="S48" s="2">
        <v>1</v>
      </c>
      <c r="T48" s="2">
        <v>0</v>
      </c>
      <c r="U48" s="2">
        <v>8</v>
      </c>
      <c r="V48" s="12">
        <v>25</v>
      </c>
      <c r="W48" s="2">
        <v>17</v>
      </c>
      <c r="X48" s="2">
        <v>2</v>
      </c>
      <c r="Y48" s="2">
        <v>2</v>
      </c>
      <c r="Z48" s="2">
        <f>Y48-X48</f>
        <v>0</v>
      </c>
      <c r="AA48" s="2">
        <f>(Z48/E48)*60</f>
        <v>0</v>
      </c>
      <c r="AB48" s="2">
        <v>156</v>
      </c>
      <c r="AC48" s="2">
        <f>(AB48/E48)*60</f>
        <v>17.019213285653677</v>
      </c>
      <c r="AD48" s="2">
        <v>74</v>
      </c>
      <c r="AE48" s="2">
        <f>(AD48/E48)*60</f>
        <v>8.0732165585793076</v>
      </c>
      <c r="AF48" s="2">
        <v>29.9</v>
      </c>
      <c r="AG48" s="2">
        <v>28.3</v>
      </c>
      <c r="AH48" s="2">
        <f>AF48-AG48</f>
        <v>1.5999999999999979</v>
      </c>
      <c r="AI48" s="2">
        <v>3</v>
      </c>
      <c r="AJ48" s="2">
        <f>(AI48/E48)*60</f>
        <v>0.32729256318564759</v>
      </c>
      <c r="AK48" s="2">
        <v>5</v>
      </c>
      <c r="AL48" s="2">
        <v>7</v>
      </c>
      <c r="AM48" s="2">
        <f>(AL48/E48)*60</f>
        <v>0.76368264743317782</v>
      </c>
      <c r="AN48" s="2" t="s">
        <v>113</v>
      </c>
      <c r="AO48" s="2">
        <v>204</v>
      </c>
      <c r="AP48" s="2">
        <v>115</v>
      </c>
      <c r="AQ48" s="14">
        <f>(AP48/E48)*60</f>
        <v>12.546214922116491</v>
      </c>
    </row>
    <row r="49" spans="1:43" x14ac:dyDescent="0.35">
      <c r="A49" s="5" t="s">
        <v>187</v>
      </c>
      <c r="B49" s="5" t="s">
        <v>122</v>
      </c>
      <c r="C49" s="2" t="s">
        <v>39</v>
      </c>
      <c r="D49" s="2">
        <v>36</v>
      </c>
      <c r="E49" s="3">
        <v>584.9666666666667</v>
      </c>
      <c r="F49" s="2">
        <v>2</v>
      </c>
      <c r="G49" s="14">
        <f>(F49/E49)*60</f>
        <v>0.20513989401105476</v>
      </c>
      <c r="H49" s="2">
        <v>4</v>
      </c>
      <c r="I49" s="14">
        <f>(H49/E49)*60</f>
        <v>0.41027978802210952</v>
      </c>
      <c r="J49" s="2">
        <v>6</v>
      </c>
      <c r="K49" s="2">
        <v>6</v>
      </c>
      <c r="L49" s="2">
        <v>103</v>
      </c>
      <c r="M49" s="2">
        <v>44</v>
      </c>
      <c r="N49" s="2">
        <v>0.99</v>
      </c>
      <c r="O49" s="2">
        <v>3.19</v>
      </c>
      <c r="P49" s="2">
        <f>(O49/E49)*60</f>
        <v>0.32719813094763234</v>
      </c>
      <c r="Q49" s="2">
        <v>0</v>
      </c>
      <c r="R49" s="2">
        <v>0</v>
      </c>
      <c r="S49" s="2">
        <v>0</v>
      </c>
      <c r="T49" s="2">
        <v>0</v>
      </c>
      <c r="U49" s="2">
        <v>1</v>
      </c>
      <c r="V49" s="12">
        <v>19</v>
      </c>
      <c r="W49" s="2">
        <v>20</v>
      </c>
      <c r="X49" s="2">
        <v>2</v>
      </c>
      <c r="Y49" s="2">
        <v>3</v>
      </c>
      <c r="Z49" s="2">
        <f>Y49-X49</f>
        <v>1</v>
      </c>
      <c r="AA49" s="2">
        <f>(Z49/E49)*60</f>
        <v>0.10256994700552738</v>
      </c>
      <c r="AB49" s="2">
        <v>154</v>
      </c>
      <c r="AC49" s="2">
        <f>(AB49/E49)*60</f>
        <v>15.795771838851214</v>
      </c>
      <c r="AD49" s="2">
        <v>98</v>
      </c>
      <c r="AE49" s="2">
        <f>(AD49/E49)*60</f>
        <v>10.051854806541682</v>
      </c>
      <c r="AF49" s="2">
        <v>28.4</v>
      </c>
      <c r="AG49" s="2">
        <v>31.8</v>
      </c>
      <c r="AH49" s="2">
        <f>AF49-AG49</f>
        <v>-3.4000000000000021</v>
      </c>
      <c r="AI49" s="2">
        <v>6</v>
      </c>
      <c r="AJ49" s="2">
        <f>(AI49/E49)*60</f>
        <v>0.61541968203316422</v>
      </c>
      <c r="AK49" s="2">
        <v>4</v>
      </c>
      <c r="AL49" s="2">
        <v>7</v>
      </c>
      <c r="AM49" s="2">
        <f>(AL49/E49)*60</f>
        <v>0.71798962903869168</v>
      </c>
      <c r="AN49" s="2" t="s">
        <v>188</v>
      </c>
      <c r="AO49" s="2">
        <v>215</v>
      </c>
      <c r="AP49" s="2">
        <v>119</v>
      </c>
      <c r="AQ49" s="14">
        <f>(AP49/E49)*60</f>
        <v>12.205823693657758</v>
      </c>
    </row>
    <row r="50" spans="1:43" x14ac:dyDescent="0.35">
      <c r="A50" s="5" t="s">
        <v>246</v>
      </c>
      <c r="B50" s="5" t="s">
        <v>78</v>
      </c>
      <c r="C50" s="2" t="s">
        <v>39</v>
      </c>
      <c r="D50" s="2">
        <v>36</v>
      </c>
      <c r="E50" s="3">
        <v>493.76666666666665</v>
      </c>
      <c r="F50" s="2">
        <v>1</v>
      </c>
      <c r="G50" s="14">
        <f>(F50/E50)*60</f>
        <v>0.12151488557348276</v>
      </c>
      <c r="H50" s="2">
        <v>3</v>
      </c>
      <c r="I50" s="14">
        <f>(H50/E50)*60</f>
        <v>0.36454465672044828</v>
      </c>
      <c r="J50" s="2">
        <v>4</v>
      </c>
      <c r="K50" s="2">
        <v>0</v>
      </c>
      <c r="L50" s="2">
        <v>70</v>
      </c>
      <c r="M50" s="2">
        <v>25</v>
      </c>
      <c r="N50" s="2">
        <v>0.63</v>
      </c>
      <c r="O50" s="2">
        <v>1.48</v>
      </c>
      <c r="P50" s="2">
        <f>(O50/E50)*60</f>
        <v>0.17984203064875448</v>
      </c>
      <c r="Q50" s="2">
        <v>0</v>
      </c>
      <c r="R50" s="2">
        <v>0</v>
      </c>
      <c r="S50" s="2">
        <v>0</v>
      </c>
      <c r="T50" s="2">
        <v>0</v>
      </c>
      <c r="U50" s="2">
        <v>12</v>
      </c>
      <c r="V50" s="12">
        <v>14</v>
      </c>
      <c r="W50" s="2">
        <v>26</v>
      </c>
      <c r="X50" s="2">
        <v>5</v>
      </c>
      <c r="Y50" s="2">
        <v>1</v>
      </c>
      <c r="Z50" s="2">
        <f>Y50-X50</f>
        <v>-4</v>
      </c>
      <c r="AA50" s="2">
        <f>(Z50/E50)*60</f>
        <v>-0.48605954229393106</v>
      </c>
      <c r="AB50" s="2">
        <v>156</v>
      </c>
      <c r="AC50" s="2">
        <f>(AB50/E50)*60</f>
        <v>18.956322149463311</v>
      </c>
      <c r="AD50" s="2">
        <v>88</v>
      </c>
      <c r="AE50" s="2">
        <f>(AD50/E50)*60</f>
        <v>10.693309930466482</v>
      </c>
      <c r="AF50" s="2">
        <v>22.5</v>
      </c>
      <c r="AG50" s="2">
        <v>33.799999999999997</v>
      </c>
      <c r="AH50" s="2">
        <f>AF50-AG50</f>
        <v>-11.299999999999997</v>
      </c>
      <c r="AI50" s="2">
        <v>0</v>
      </c>
      <c r="AJ50" s="2">
        <f>(AI50/E50)*60</f>
        <v>0</v>
      </c>
      <c r="AK50" s="2">
        <v>0</v>
      </c>
      <c r="AL50" s="2">
        <v>12</v>
      </c>
      <c r="AM50" s="2">
        <f>(AL50/E50)*60</f>
        <v>1.4581786268817931</v>
      </c>
      <c r="AN50" s="2" t="s">
        <v>196</v>
      </c>
      <c r="AO50" s="2">
        <v>167</v>
      </c>
      <c r="AP50" s="2">
        <v>99</v>
      </c>
      <c r="AQ50" s="14">
        <f>(AP50/E50)*60</f>
        <v>12.029973671774792</v>
      </c>
    </row>
    <row r="51" spans="1:43" x14ac:dyDescent="0.35">
      <c r="A51" s="5" t="s">
        <v>129</v>
      </c>
      <c r="B51" s="5" t="s">
        <v>71</v>
      </c>
      <c r="C51" s="2" t="s">
        <v>39</v>
      </c>
      <c r="D51" s="2">
        <v>36</v>
      </c>
      <c r="E51" s="3">
        <v>639.25</v>
      </c>
      <c r="F51" s="2">
        <v>1</v>
      </c>
      <c r="G51" s="14">
        <f>(F51/E51)*60</f>
        <v>9.3859992178333976E-2</v>
      </c>
      <c r="H51" s="2">
        <v>8</v>
      </c>
      <c r="I51" s="14">
        <f>(H51/E51)*60</f>
        <v>0.75087993742667181</v>
      </c>
      <c r="J51" s="2">
        <v>9</v>
      </c>
      <c r="K51" s="2">
        <v>1</v>
      </c>
      <c r="L51" s="2">
        <v>106</v>
      </c>
      <c r="M51" s="2">
        <v>53</v>
      </c>
      <c r="N51" s="2">
        <v>1.01</v>
      </c>
      <c r="O51" s="2">
        <v>2.81</v>
      </c>
      <c r="P51" s="2">
        <f>(O51/E51)*60</f>
        <v>0.26374657802111851</v>
      </c>
      <c r="Q51" s="2">
        <v>1</v>
      </c>
      <c r="R51" s="2">
        <v>0</v>
      </c>
      <c r="S51" s="2">
        <v>1</v>
      </c>
      <c r="T51" s="2">
        <v>0</v>
      </c>
      <c r="U51" s="2">
        <v>0</v>
      </c>
      <c r="V51" s="12">
        <v>23</v>
      </c>
      <c r="W51" s="2">
        <v>23</v>
      </c>
      <c r="X51" s="2">
        <v>2</v>
      </c>
      <c r="Y51" s="2">
        <v>1</v>
      </c>
      <c r="Z51" s="2">
        <f>Y51-X51</f>
        <v>-1</v>
      </c>
      <c r="AA51" s="2">
        <f>(Z51/E51)*60</f>
        <v>-9.3859992178333976E-2</v>
      </c>
      <c r="AB51" s="2">
        <v>172</v>
      </c>
      <c r="AC51" s="2">
        <f>(AB51/E51)*60</f>
        <v>16.143918654673445</v>
      </c>
      <c r="AD51" s="2">
        <v>133</v>
      </c>
      <c r="AE51" s="2">
        <f>(AD51/E51)*60</f>
        <v>12.48337895971842</v>
      </c>
      <c r="AF51" s="2">
        <v>32.1</v>
      </c>
      <c r="AG51" s="2">
        <v>29.2</v>
      </c>
      <c r="AH51" s="2">
        <f>AF51-AG51</f>
        <v>2.9000000000000021</v>
      </c>
      <c r="AI51" s="2">
        <v>1</v>
      </c>
      <c r="AJ51" s="2">
        <f>(AI51/E51)*60</f>
        <v>9.3859992178333976E-2</v>
      </c>
      <c r="AK51" s="2">
        <v>6</v>
      </c>
      <c r="AL51" s="2">
        <v>12</v>
      </c>
      <c r="AM51" s="2">
        <f>(AL51/E51)*60</f>
        <v>1.1263199061400078</v>
      </c>
      <c r="AN51" s="2" t="s">
        <v>130</v>
      </c>
      <c r="AO51" s="2">
        <v>268</v>
      </c>
      <c r="AP51" s="2">
        <v>128</v>
      </c>
      <c r="AQ51" s="14">
        <f>(AP51/E51)*60</f>
        <v>12.014078998826749</v>
      </c>
    </row>
    <row r="52" spans="1:43" x14ac:dyDescent="0.35">
      <c r="A52" s="5" t="s">
        <v>323</v>
      </c>
      <c r="B52" s="5" t="s">
        <v>60</v>
      </c>
      <c r="C52" s="2" t="s">
        <v>31</v>
      </c>
      <c r="D52" s="2">
        <v>36</v>
      </c>
      <c r="E52" s="3">
        <v>373.3</v>
      </c>
      <c r="F52" s="2">
        <v>1</v>
      </c>
      <c r="G52" s="14">
        <f>(F52/E52)*60</f>
        <v>0.16072863648540048</v>
      </c>
      <c r="H52" s="2">
        <v>3</v>
      </c>
      <c r="I52" s="14">
        <f>(H52/E52)*60</f>
        <v>0.48218590945620143</v>
      </c>
      <c r="J52" s="2">
        <v>4</v>
      </c>
      <c r="K52" s="2">
        <v>8</v>
      </c>
      <c r="L52" s="2">
        <v>37</v>
      </c>
      <c r="M52" s="2">
        <v>23</v>
      </c>
      <c r="N52" s="2">
        <v>1.86</v>
      </c>
      <c r="O52" s="2">
        <v>2.84</v>
      </c>
      <c r="P52" s="2">
        <f>(O52/E52)*60</f>
        <v>0.45646932761853731</v>
      </c>
      <c r="Q52" s="2">
        <v>1</v>
      </c>
      <c r="R52" s="2">
        <v>0</v>
      </c>
      <c r="S52" s="2">
        <v>1</v>
      </c>
      <c r="T52" s="2">
        <v>0</v>
      </c>
      <c r="U52" s="2">
        <v>10</v>
      </c>
      <c r="V52" s="12">
        <v>7</v>
      </c>
      <c r="W52" s="2">
        <v>17</v>
      </c>
      <c r="X52" s="2">
        <v>3</v>
      </c>
      <c r="Y52" s="2">
        <v>5</v>
      </c>
      <c r="Z52" s="2">
        <f>Y52-X52</f>
        <v>2</v>
      </c>
      <c r="AA52" s="2">
        <f>(Z52/E52)*60</f>
        <v>0.32145727297080096</v>
      </c>
      <c r="AB52" s="2">
        <v>44</v>
      </c>
      <c r="AC52" s="2">
        <f>(AB52/E52)*60</f>
        <v>7.0720600053576206</v>
      </c>
      <c r="AD52" s="2">
        <v>86</v>
      </c>
      <c r="AE52" s="2">
        <f>(AD52/E52)*60</f>
        <v>13.822662737744441</v>
      </c>
      <c r="AF52" s="2">
        <v>11.7</v>
      </c>
      <c r="AG52" s="2">
        <v>18.399999999999999</v>
      </c>
      <c r="AH52" s="2">
        <f>AF52-AG52</f>
        <v>-6.6999999999999993</v>
      </c>
      <c r="AI52" s="2">
        <v>8</v>
      </c>
      <c r="AJ52" s="2">
        <f>(AI52/E52)*60</f>
        <v>1.2858290918832038</v>
      </c>
      <c r="AK52" s="2">
        <v>2</v>
      </c>
      <c r="AL52" s="2">
        <v>3</v>
      </c>
      <c r="AM52" s="2">
        <f>(AL52/E52)*60</f>
        <v>0.48218590945620143</v>
      </c>
      <c r="AN52" s="2" t="s">
        <v>324</v>
      </c>
      <c r="AO52" s="2">
        <v>201</v>
      </c>
      <c r="AP52" s="2">
        <v>74</v>
      </c>
      <c r="AQ52" s="14">
        <f>(AP52/E52)*60</f>
        <v>11.893919099919636</v>
      </c>
    </row>
    <row r="53" spans="1:43" x14ac:dyDescent="0.35">
      <c r="A53" s="5" t="s">
        <v>62</v>
      </c>
      <c r="B53" s="5" t="s">
        <v>53</v>
      </c>
      <c r="C53" s="2" t="s">
        <v>39</v>
      </c>
      <c r="D53" s="2">
        <v>36</v>
      </c>
      <c r="E53" s="3">
        <v>683.33333333333337</v>
      </c>
      <c r="F53" s="2">
        <v>4</v>
      </c>
      <c r="G53" s="14">
        <f>(F53/E53)*60</f>
        <v>0.35121951219512193</v>
      </c>
      <c r="H53" s="2">
        <v>8</v>
      </c>
      <c r="I53" s="14">
        <f>(H53/E53)*60</f>
        <v>0.70243902439024386</v>
      </c>
      <c r="J53" s="2">
        <v>12</v>
      </c>
      <c r="K53" s="2">
        <v>10</v>
      </c>
      <c r="L53" s="2">
        <v>73</v>
      </c>
      <c r="M53" s="2">
        <v>32</v>
      </c>
      <c r="N53" s="2">
        <v>1.26</v>
      </c>
      <c r="O53" s="2">
        <v>3.2</v>
      </c>
      <c r="P53" s="2">
        <f>(O53/E53)*60</f>
        <v>0.28097560975609753</v>
      </c>
      <c r="Q53" s="2">
        <v>0</v>
      </c>
      <c r="R53" s="2">
        <v>0</v>
      </c>
      <c r="S53" s="2">
        <v>0</v>
      </c>
      <c r="T53" s="2">
        <v>0</v>
      </c>
      <c r="U53" s="2">
        <v>18</v>
      </c>
      <c r="V53" s="12">
        <v>34</v>
      </c>
      <c r="W53" s="2">
        <v>16</v>
      </c>
      <c r="X53" s="2">
        <v>4</v>
      </c>
      <c r="Y53" s="2">
        <v>5</v>
      </c>
      <c r="Z53" s="2">
        <f>Y53-X53</f>
        <v>1</v>
      </c>
      <c r="AA53" s="2">
        <f>(Z53/E53)*60</f>
        <v>8.7804878048780483E-2</v>
      </c>
      <c r="AB53" s="2">
        <v>168</v>
      </c>
      <c r="AC53" s="2">
        <f>(AB53/E53)*60</f>
        <v>14.751219512195121</v>
      </c>
      <c r="AD53" s="2">
        <v>130</v>
      </c>
      <c r="AE53" s="2">
        <f>(AD53/E53)*60</f>
        <v>11.414634146341463</v>
      </c>
      <c r="AF53" s="2">
        <v>44.8</v>
      </c>
      <c r="AG53" s="2">
        <v>24.6</v>
      </c>
      <c r="AH53" s="2">
        <f>AF53-AG53</f>
        <v>20.199999999999996</v>
      </c>
      <c r="AI53" s="2">
        <v>10</v>
      </c>
      <c r="AJ53" s="2">
        <f>(AI53/E53)*60</f>
        <v>0.87804878048780477</v>
      </c>
      <c r="AK53" s="2">
        <v>12</v>
      </c>
      <c r="AL53" s="2">
        <v>21</v>
      </c>
      <c r="AM53" s="2">
        <f>(AL53/E53)*60</f>
        <v>1.8439024390243901</v>
      </c>
      <c r="AN53" s="2" t="s">
        <v>63</v>
      </c>
      <c r="AO53" s="2">
        <v>276</v>
      </c>
      <c r="AP53" s="2">
        <v>134</v>
      </c>
      <c r="AQ53" s="14">
        <f>(AP53/E53)*60</f>
        <v>11.765853658536583</v>
      </c>
    </row>
    <row r="54" spans="1:43" x14ac:dyDescent="0.35">
      <c r="A54" s="5" t="s">
        <v>45</v>
      </c>
      <c r="B54" s="5" t="s">
        <v>46</v>
      </c>
      <c r="C54" s="2" t="s">
        <v>39</v>
      </c>
      <c r="D54" s="2">
        <v>36</v>
      </c>
      <c r="E54" s="3">
        <v>583.13333333333333</v>
      </c>
      <c r="F54" s="2">
        <v>22</v>
      </c>
      <c r="G54" s="14">
        <f>(F54/E54)*60</f>
        <v>2.2636332456842347</v>
      </c>
      <c r="H54" s="2">
        <v>12</v>
      </c>
      <c r="I54" s="14">
        <f>(H54/E54)*60</f>
        <v>1.2347090431004917</v>
      </c>
      <c r="J54" s="2">
        <v>34</v>
      </c>
      <c r="K54" s="2">
        <v>61</v>
      </c>
      <c r="L54" s="2">
        <v>243</v>
      </c>
      <c r="M54" s="2">
        <v>141</v>
      </c>
      <c r="N54" s="2">
        <v>3.49</v>
      </c>
      <c r="O54" s="2">
        <v>23.9</v>
      </c>
      <c r="P54" s="2">
        <f>(O54/E54)*60</f>
        <v>2.4591288441751455</v>
      </c>
      <c r="Q54" s="2">
        <v>2</v>
      </c>
      <c r="R54" s="2">
        <v>2</v>
      </c>
      <c r="S54" s="2">
        <v>0</v>
      </c>
      <c r="T54" s="8">
        <v>1</v>
      </c>
      <c r="U54" s="2">
        <v>27</v>
      </c>
      <c r="V54" s="12">
        <v>38</v>
      </c>
      <c r="W54" s="2">
        <v>11</v>
      </c>
      <c r="X54" s="2">
        <v>4</v>
      </c>
      <c r="Y54" s="2">
        <v>17</v>
      </c>
      <c r="Z54" s="2">
        <f>Y54-X54</f>
        <v>13</v>
      </c>
      <c r="AA54" s="2">
        <f>(Z54/E54)*60</f>
        <v>1.3376014633588658</v>
      </c>
      <c r="AB54" s="2">
        <v>99</v>
      </c>
      <c r="AC54" s="2">
        <f>(AB54/E54)*60</f>
        <v>10.186349605579055</v>
      </c>
      <c r="AD54" s="2">
        <v>131</v>
      </c>
      <c r="AE54" s="2">
        <f>(AD54/E54)*60</f>
        <v>13.478907053847033</v>
      </c>
      <c r="AF54" s="2">
        <v>48.6</v>
      </c>
      <c r="AG54" s="2">
        <v>28.7</v>
      </c>
      <c r="AH54" s="2">
        <f>AF54-AG54</f>
        <v>19.900000000000002</v>
      </c>
      <c r="AI54" s="2">
        <v>61</v>
      </c>
      <c r="AJ54" s="2">
        <f>(AI54/E54)*60</f>
        <v>6.276437635760832</v>
      </c>
      <c r="AK54" s="2">
        <v>27</v>
      </c>
      <c r="AL54" s="2">
        <v>51</v>
      </c>
      <c r="AM54" s="2">
        <f>(AL54/E54)*60</f>
        <v>5.2475134331770885</v>
      </c>
      <c r="AN54" s="2" t="s">
        <v>47</v>
      </c>
      <c r="AO54" s="2">
        <v>266</v>
      </c>
      <c r="AP54" s="2">
        <v>114</v>
      </c>
      <c r="AQ54" s="14">
        <f>(AP54/E54)*60</f>
        <v>11.72973590945467</v>
      </c>
    </row>
    <row r="55" spans="1:43" x14ac:dyDescent="0.35">
      <c r="A55" s="5" t="s">
        <v>141</v>
      </c>
      <c r="B55" s="5" t="s">
        <v>46</v>
      </c>
      <c r="C55" s="2" t="s">
        <v>39</v>
      </c>
      <c r="D55" s="2">
        <v>36</v>
      </c>
      <c r="E55" s="3">
        <v>575.26666666666665</v>
      </c>
      <c r="F55" s="2">
        <v>1</v>
      </c>
      <c r="G55" s="14">
        <f>(F55/E55)*60</f>
        <v>0.10429945532506664</v>
      </c>
      <c r="H55" s="2">
        <v>2</v>
      </c>
      <c r="I55" s="14">
        <f>(H55/E55)*60</f>
        <v>0.20859891065013328</v>
      </c>
      <c r="J55" s="2">
        <v>3</v>
      </c>
      <c r="K55" s="2">
        <v>1</v>
      </c>
      <c r="L55" s="2">
        <v>75</v>
      </c>
      <c r="M55" s="2">
        <v>28</v>
      </c>
      <c r="N55" s="2">
        <v>0.71</v>
      </c>
      <c r="O55" s="2">
        <v>1.92</v>
      </c>
      <c r="P55" s="2">
        <f>(O55/E55)*60</f>
        <v>0.20025495422412792</v>
      </c>
      <c r="Q55" s="2">
        <v>0</v>
      </c>
      <c r="R55" s="2">
        <v>0</v>
      </c>
      <c r="S55" s="2">
        <v>0</v>
      </c>
      <c r="T55" s="2">
        <v>0</v>
      </c>
      <c r="U55" s="2">
        <v>8</v>
      </c>
      <c r="V55" s="12">
        <v>22</v>
      </c>
      <c r="W55" s="2">
        <v>14</v>
      </c>
      <c r="X55" s="2">
        <v>2</v>
      </c>
      <c r="Y55" s="2">
        <v>1</v>
      </c>
      <c r="Z55" s="2">
        <f>Y55-X55</f>
        <v>-1</v>
      </c>
      <c r="AA55" s="2">
        <f>(Z55/E55)*60</f>
        <v>-0.10429945532506664</v>
      </c>
      <c r="AB55" s="2">
        <v>157</v>
      </c>
      <c r="AC55" s="2">
        <f>(AB55/E55)*60</f>
        <v>16.375014486035465</v>
      </c>
      <c r="AD55" s="2">
        <v>81</v>
      </c>
      <c r="AE55" s="2">
        <f>(AD55/E55)*60</f>
        <v>8.4482558813303985</v>
      </c>
      <c r="AF55" s="2">
        <v>26.6</v>
      </c>
      <c r="AG55" s="2">
        <v>33.700000000000003</v>
      </c>
      <c r="AH55" s="2">
        <f>AF55-AG55</f>
        <v>-7.1000000000000014</v>
      </c>
      <c r="AI55" s="2">
        <v>1</v>
      </c>
      <c r="AJ55" s="2">
        <f>(AI55/E55)*60</f>
        <v>0.10429945532506664</v>
      </c>
      <c r="AK55" s="2">
        <v>1</v>
      </c>
      <c r="AL55" s="2">
        <v>4</v>
      </c>
      <c r="AM55" s="2">
        <f>(AL55/E55)*60</f>
        <v>0.41719782130026656</v>
      </c>
      <c r="AN55" s="2" t="s">
        <v>142</v>
      </c>
      <c r="AO55" s="2">
        <v>209</v>
      </c>
      <c r="AP55" s="2">
        <v>112</v>
      </c>
      <c r="AQ55" s="14">
        <f>(AP55/E55)*60</f>
        <v>11.681538996407465</v>
      </c>
    </row>
    <row r="56" spans="1:43" x14ac:dyDescent="0.35">
      <c r="A56" s="5" t="s">
        <v>216</v>
      </c>
      <c r="B56" s="5" t="s">
        <v>30</v>
      </c>
      <c r="C56" s="2" t="s">
        <v>31</v>
      </c>
      <c r="D56" s="2">
        <v>36</v>
      </c>
      <c r="E56" s="3">
        <v>493.76666666666665</v>
      </c>
      <c r="F56" s="2">
        <v>7</v>
      </c>
      <c r="G56" s="14">
        <f>(F56/E56)*60</f>
        <v>0.85060419901437923</v>
      </c>
      <c r="H56" s="2">
        <v>6</v>
      </c>
      <c r="I56" s="14">
        <f>(H56/E56)*60</f>
        <v>0.72908931344089656</v>
      </c>
      <c r="J56" s="2">
        <v>13</v>
      </c>
      <c r="K56" s="2">
        <v>19</v>
      </c>
      <c r="L56" s="2">
        <v>74</v>
      </c>
      <c r="M56" s="2">
        <v>52</v>
      </c>
      <c r="N56" s="2">
        <v>3.02</v>
      </c>
      <c r="O56" s="2">
        <v>7.3</v>
      </c>
      <c r="P56" s="2">
        <f>(O56/E56)*60</f>
        <v>0.88705866468642414</v>
      </c>
      <c r="Q56" s="2">
        <v>258</v>
      </c>
      <c r="R56" s="2">
        <v>99</v>
      </c>
      <c r="S56" s="2">
        <v>159</v>
      </c>
      <c r="T56" s="7">
        <v>0.38400000000000001</v>
      </c>
      <c r="U56" s="2">
        <v>0</v>
      </c>
      <c r="V56" s="12">
        <v>17</v>
      </c>
      <c r="W56" s="2">
        <v>17</v>
      </c>
      <c r="X56" s="2">
        <v>3</v>
      </c>
      <c r="Y56" s="2">
        <v>7</v>
      </c>
      <c r="Z56" s="2">
        <f>Y56-X56</f>
        <v>4</v>
      </c>
      <c r="AA56" s="2">
        <f>(Z56/E56)*60</f>
        <v>0.48605954229393106</v>
      </c>
      <c r="AB56" s="2">
        <v>57</v>
      </c>
      <c r="AC56" s="2">
        <f>(AB56/E56)*60</f>
        <v>6.9263484776885171</v>
      </c>
      <c r="AD56" s="2">
        <v>88</v>
      </c>
      <c r="AE56" s="2">
        <f>(AD56/E56)*60</f>
        <v>10.693309930466482</v>
      </c>
      <c r="AF56" s="2">
        <v>22.6</v>
      </c>
      <c r="AG56" s="2">
        <v>23.9</v>
      </c>
      <c r="AH56" s="2">
        <f>AF56-AG56</f>
        <v>-1.2999999999999972</v>
      </c>
      <c r="AI56" s="2">
        <v>19</v>
      </c>
      <c r="AJ56" s="2">
        <f>(AI56/E56)*60</f>
        <v>2.3087828258961722</v>
      </c>
      <c r="AK56" s="2">
        <v>7</v>
      </c>
      <c r="AL56" s="2">
        <v>3</v>
      </c>
      <c r="AM56" s="2">
        <f>(AL56/E56)*60</f>
        <v>0.36454465672044828</v>
      </c>
      <c r="AN56" s="2" t="s">
        <v>217</v>
      </c>
      <c r="AO56" s="2">
        <v>244</v>
      </c>
      <c r="AP56" s="2">
        <v>96</v>
      </c>
      <c r="AQ56" s="14">
        <f>(AP56/E56)*60</f>
        <v>11.665429015054345</v>
      </c>
    </row>
    <row r="57" spans="1:43" x14ac:dyDescent="0.35">
      <c r="A57" s="5" t="s">
        <v>390</v>
      </c>
      <c r="B57" s="5" t="s">
        <v>105</v>
      </c>
      <c r="C57" s="2" t="s">
        <v>31</v>
      </c>
      <c r="D57" s="2">
        <v>36</v>
      </c>
      <c r="E57" s="3">
        <v>247.78333333333333</v>
      </c>
      <c r="F57" s="2">
        <v>1</v>
      </c>
      <c r="G57" s="14">
        <f>(F57/E57)*60</f>
        <v>0.24214703706194929</v>
      </c>
      <c r="H57" s="2">
        <v>1</v>
      </c>
      <c r="I57" s="14">
        <f>(H57/E57)*60</f>
        <v>0.24214703706194929</v>
      </c>
      <c r="J57" s="2">
        <v>2</v>
      </c>
      <c r="K57" s="2">
        <v>4</v>
      </c>
      <c r="L57" s="2">
        <v>28</v>
      </c>
      <c r="M57" s="2">
        <v>21</v>
      </c>
      <c r="N57" s="2">
        <v>1.23</v>
      </c>
      <c r="O57" s="2">
        <v>1.97</v>
      </c>
      <c r="P57" s="2">
        <f>(O57/E57)*60</f>
        <v>0.47702966301204014</v>
      </c>
      <c r="Q57" s="2">
        <v>3</v>
      </c>
      <c r="R57" s="2">
        <v>3</v>
      </c>
      <c r="S57" s="2">
        <v>0</v>
      </c>
      <c r="T57" s="8">
        <v>1</v>
      </c>
      <c r="U57" s="2">
        <v>10</v>
      </c>
      <c r="V57" s="12">
        <v>3</v>
      </c>
      <c r="W57" s="2">
        <v>13</v>
      </c>
      <c r="X57" s="2">
        <v>2</v>
      </c>
      <c r="Y57" s="2">
        <v>3</v>
      </c>
      <c r="Z57" s="2">
        <f>Y57-X57</f>
        <v>1</v>
      </c>
      <c r="AA57" s="2">
        <f>(Z57/E57)*60</f>
        <v>0.24214703706194929</v>
      </c>
      <c r="AB57" s="2">
        <v>35</v>
      </c>
      <c r="AC57" s="2">
        <f>(AB57/E57)*60</f>
        <v>8.4751462971682265</v>
      </c>
      <c r="AD57" s="2">
        <v>86</v>
      </c>
      <c r="AE57" s="2">
        <f>(AD57/E57)*60</f>
        <v>20.82464518732764</v>
      </c>
      <c r="AF57" s="2">
        <v>6.7</v>
      </c>
      <c r="AG57" s="2">
        <v>16.600000000000001</v>
      </c>
      <c r="AH57" s="2">
        <f>AF57-AG57</f>
        <v>-9.9000000000000021</v>
      </c>
      <c r="AI57" s="2">
        <v>4</v>
      </c>
      <c r="AJ57" s="2">
        <f>(AI57/E57)*60</f>
        <v>0.96858814824779715</v>
      </c>
      <c r="AK57" s="2">
        <v>3</v>
      </c>
      <c r="AL57" s="2">
        <v>5</v>
      </c>
      <c r="AM57" s="2">
        <f>(AL57/E57)*60</f>
        <v>1.2107351853097463</v>
      </c>
      <c r="AN57" s="2" t="s">
        <v>336</v>
      </c>
      <c r="AO57" s="2">
        <v>110</v>
      </c>
      <c r="AP57" s="2">
        <v>47</v>
      </c>
      <c r="AQ57" s="14">
        <f>(AP57/E57)*60</f>
        <v>11.380910741911617</v>
      </c>
    </row>
    <row r="58" spans="1:43" x14ac:dyDescent="0.35">
      <c r="A58" s="5" t="s">
        <v>274</v>
      </c>
      <c r="B58" s="5" t="s">
        <v>71</v>
      </c>
      <c r="C58" s="2" t="s">
        <v>39</v>
      </c>
      <c r="D58" s="2">
        <v>36</v>
      </c>
      <c r="E58" s="3">
        <v>321.73333333333335</v>
      </c>
      <c r="F58" s="2">
        <v>0</v>
      </c>
      <c r="G58" s="14">
        <f>(F58/E58)*60</f>
        <v>0</v>
      </c>
      <c r="H58" s="2">
        <v>0</v>
      </c>
      <c r="I58" s="14">
        <f>(H58/E58)*60</f>
        <v>0</v>
      </c>
      <c r="J58" s="2">
        <v>0</v>
      </c>
      <c r="K58" s="2">
        <v>0</v>
      </c>
      <c r="L58" s="2">
        <v>20</v>
      </c>
      <c r="M58" s="2">
        <v>4</v>
      </c>
      <c r="N58" s="2">
        <v>0.15</v>
      </c>
      <c r="O58" s="2">
        <v>0.25</v>
      </c>
      <c r="P58" s="2">
        <f>(O58/E58)*60</f>
        <v>4.6622461665975959E-2</v>
      </c>
      <c r="Q58" s="2">
        <v>0</v>
      </c>
      <c r="R58" s="2">
        <v>0</v>
      </c>
      <c r="S58" s="2">
        <v>0</v>
      </c>
      <c r="T58" s="2">
        <v>0</v>
      </c>
      <c r="U58" s="2">
        <v>2</v>
      </c>
      <c r="V58" s="12">
        <v>11</v>
      </c>
      <c r="W58" s="2">
        <v>9</v>
      </c>
      <c r="X58" s="2">
        <v>3</v>
      </c>
      <c r="Y58" s="2">
        <v>0</v>
      </c>
      <c r="Z58" s="2">
        <f>Y58-X58</f>
        <v>-3</v>
      </c>
      <c r="AA58" s="2">
        <f>(Z58/E58)*60</f>
        <v>-0.55946953999171156</v>
      </c>
      <c r="AB58" s="2">
        <v>79</v>
      </c>
      <c r="AC58" s="2">
        <f>(AB58/E58)*60</f>
        <v>14.732697886448404</v>
      </c>
      <c r="AD58" s="2">
        <v>38</v>
      </c>
      <c r="AE58" s="2">
        <f>(AD58/E58)*60</f>
        <v>7.0866141732283463</v>
      </c>
      <c r="AF58" s="2">
        <v>14.8</v>
      </c>
      <c r="AG58" s="2">
        <v>17.399999999999999</v>
      </c>
      <c r="AH58" s="2">
        <f>AF58-AG58</f>
        <v>-2.5999999999999979</v>
      </c>
      <c r="AI58" s="2">
        <v>0</v>
      </c>
      <c r="AJ58" s="2">
        <f>(AI58/E58)*60</f>
        <v>0</v>
      </c>
      <c r="AK58" s="2">
        <v>1</v>
      </c>
      <c r="AL58" s="2">
        <v>2</v>
      </c>
      <c r="AM58" s="2">
        <f>(AL58/E58)*60</f>
        <v>0.37297969332780767</v>
      </c>
      <c r="AN58" s="2" t="s">
        <v>275</v>
      </c>
      <c r="AO58" s="2">
        <v>106</v>
      </c>
      <c r="AP58" s="2">
        <v>56</v>
      </c>
      <c r="AQ58" s="14">
        <f>(AP58/E58)*60</f>
        <v>10.443431413178615</v>
      </c>
    </row>
    <row r="59" spans="1:43" x14ac:dyDescent="0.35">
      <c r="A59" s="5" t="s">
        <v>70</v>
      </c>
      <c r="B59" s="5" t="s">
        <v>71</v>
      </c>
      <c r="C59" s="2" t="s">
        <v>39</v>
      </c>
      <c r="D59" s="2">
        <v>36</v>
      </c>
      <c r="E59" s="3">
        <v>667.3</v>
      </c>
      <c r="F59" s="2">
        <v>0</v>
      </c>
      <c r="G59" s="14">
        <f>(F59/E59)*60</f>
        <v>0</v>
      </c>
      <c r="H59" s="2">
        <v>17</v>
      </c>
      <c r="I59" s="14">
        <f>(H59/E59)*60</f>
        <v>1.5285478795144614</v>
      </c>
      <c r="J59" s="2">
        <v>17</v>
      </c>
      <c r="K59" s="2">
        <v>3</v>
      </c>
      <c r="L59" s="2">
        <v>73</v>
      </c>
      <c r="M59" s="2">
        <v>30</v>
      </c>
      <c r="N59" s="2">
        <v>0.94</v>
      </c>
      <c r="O59" s="2">
        <v>1.97</v>
      </c>
      <c r="P59" s="2">
        <f>(O59/E59)*60</f>
        <v>0.17713172486138171</v>
      </c>
      <c r="Q59" s="2">
        <v>0</v>
      </c>
      <c r="R59" s="2">
        <v>0</v>
      </c>
      <c r="S59" s="2">
        <v>0</v>
      </c>
      <c r="T59" s="2">
        <v>0</v>
      </c>
      <c r="U59" s="2">
        <v>12</v>
      </c>
      <c r="V59" s="12">
        <v>32</v>
      </c>
      <c r="W59" s="2">
        <v>20</v>
      </c>
      <c r="X59" s="2">
        <v>1</v>
      </c>
      <c r="Y59" s="2">
        <v>1</v>
      </c>
      <c r="Z59" s="2">
        <f>Y59-X59</f>
        <v>0</v>
      </c>
      <c r="AA59" s="2">
        <f>(Z59/E59)*60</f>
        <v>0</v>
      </c>
      <c r="AB59" s="2">
        <v>190</v>
      </c>
      <c r="AC59" s="2">
        <f>(AB59/E59)*60</f>
        <v>17.083770418102805</v>
      </c>
      <c r="AD59" s="2">
        <v>76</v>
      </c>
      <c r="AE59" s="2">
        <f>(AD59/E59)*60</f>
        <v>6.8335081672411206</v>
      </c>
      <c r="AF59" s="2">
        <v>36.700000000000003</v>
      </c>
      <c r="AG59" s="2">
        <v>31.4</v>
      </c>
      <c r="AH59" s="2">
        <f>AF59-AG59</f>
        <v>5.3000000000000043</v>
      </c>
      <c r="AI59" s="2">
        <v>3</v>
      </c>
      <c r="AJ59" s="2">
        <f>(AI59/E59)*60</f>
        <v>0.26974374344372842</v>
      </c>
      <c r="AK59" s="2">
        <v>4</v>
      </c>
      <c r="AL59" s="2">
        <v>11</v>
      </c>
      <c r="AM59" s="2">
        <f>(AL59/E59)*60</f>
        <v>0.98906039262700451</v>
      </c>
      <c r="AN59" s="2" t="s">
        <v>72</v>
      </c>
      <c r="AO59" s="2">
        <v>195</v>
      </c>
      <c r="AP59" s="2">
        <v>103</v>
      </c>
      <c r="AQ59" s="14">
        <f>(AP59/E59)*60</f>
        <v>9.2612018582346778</v>
      </c>
    </row>
    <row r="60" spans="1:43" x14ac:dyDescent="0.35">
      <c r="A60" s="5" t="s">
        <v>203</v>
      </c>
      <c r="B60" s="5" t="s">
        <v>78</v>
      </c>
      <c r="C60" s="2" t="s">
        <v>31</v>
      </c>
      <c r="D60" s="2">
        <v>35</v>
      </c>
      <c r="E60" s="3">
        <v>651.35</v>
      </c>
      <c r="F60" s="2">
        <v>1</v>
      </c>
      <c r="G60" s="14">
        <f>(F60/E60)*60</f>
        <v>9.2116373685422581E-2</v>
      </c>
      <c r="H60" s="2">
        <v>7</v>
      </c>
      <c r="I60" s="14">
        <f>(H60/E60)*60</f>
        <v>0.64481461579795807</v>
      </c>
      <c r="J60" s="2">
        <v>8</v>
      </c>
      <c r="K60" s="2">
        <v>25</v>
      </c>
      <c r="L60" s="2">
        <v>108</v>
      </c>
      <c r="M60" s="2">
        <v>61</v>
      </c>
      <c r="N60" s="2">
        <v>2.48</v>
      </c>
      <c r="O60" s="2">
        <v>9.5</v>
      </c>
      <c r="P60" s="2">
        <f>(O60/E60)*60</f>
        <v>0.87510555001151447</v>
      </c>
      <c r="Q60" s="2">
        <v>494</v>
      </c>
      <c r="R60" s="2">
        <v>265</v>
      </c>
      <c r="S60" s="2">
        <v>229</v>
      </c>
      <c r="T60" s="7">
        <v>0.53600000000000003</v>
      </c>
      <c r="U60" s="2">
        <v>4</v>
      </c>
      <c r="V60" s="12">
        <v>18</v>
      </c>
      <c r="W60" s="2">
        <v>22</v>
      </c>
      <c r="X60" s="2">
        <v>7</v>
      </c>
      <c r="Y60" s="2">
        <v>8</v>
      </c>
      <c r="Z60" s="2">
        <f>Y60-X60</f>
        <v>1</v>
      </c>
      <c r="AA60" s="2">
        <f>(Z60/E60)*60</f>
        <v>9.2116373685422581E-2</v>
      </c>
      <c r="AB60" s="2">
        <v>154</v>
      </c>
      <c r="AC60" s="2">
        <f>(AB60/E60)*60</f>
        <v>14.185921547555077</v>
      </c>
      <c r="AD60" s="2">
        <v>184</v>
      </c>
      <c r="AE60" s="2">
        <f>(AD60/E60)*60</f>
        <v>16.949412758117752</v>
      </c>
      <c r="AF60" s="2">
        <v>32.4</v>
      </c>
      <c r="AG60" s="2">
        <v>31.1</v>
      </c>
      <c r="AH60" s="2">
        <f>AF60-AG60</f>
        <v>1.2999999999999972</v>
      </c>
      <c r="AI60" s="2">
        <v>25</v>
      </c>
      <c r="AJ60" s="2">
        <f>(AI60/E60)*60</f>
        <v>2.3029093421355644</v>
      </c>
      <c r="AK60" s="2">
        <v>18</v>
      </c>
      <c r="AL60" s="2">
        <v>15</v>
      </c>
      <c r="AM60" s="2">
        <f>(AL60/E60)*60</f>
        <v>1.3817456052813388</v>
      </c>
      <c r="AN60" s="2" t="s">
        <v>204</v>
      </c>
      <c r="AO60" s="2">
        <v>515</v>
      </c>
      <c r="AP60" s="2">
        <v>266</v>
      </c>
      <c r="AQ60" s="14">
        <f>(AP60/E60)*60</f>
        <v>24.502955400322406</v>
      </c>
    </row>
    <row r="61" spans="1:43" x14ac:dyDescent="0.35">
      <c r="A61" s="5" t="s">
        <v>48</v>
      </c>
      <c r="B61" s="5" t="s">
        <v>34</v>
      </c>
      <c r="C61" s="2" t="s">
        <v>31</v>
      </c>
      <c r="D61" s="2">
        <v>35</v>
      </c>
      <c r="E61" s="3">
        <v>566.04999999999995</v>
      </c>
      <c r="F61" s="2">
        <v>8</v>
      </c>
      <c r="G61" s="14">
        <f>(F61/E61)*60</f>
        <v>0.847981627064747</v>
      </c>
      <c r="H61" s="2">
        <v>8</v>
      </c>
      <c r="I61" s="14">
        <f>(H61/E61)*60</f>
        <v>0.847981627064747</v>
      </c>
      <c r="J61" s="2">
        <v>16</v>
      </c>
      <c r="K61" s="2">
        <v>47</v>
      </c>
      <c r="L61" s="2">
        <v>151</v>
      </c>
      <c r="M61" s="2">
        <v>83</v>
      </c>
      <c r="N61" s="2">
        <v>3.22</v>
      </c>
      <c r="O61" s="2">
        <v>13.8</v>
      </c>
      <c r="P61" s="2">
        <f>(O61/E61)*60</f>
        <v>1.4627683066866886</v>
      </c>
      <c r="Q61" s="2">
        <v>13</v>
      </c>
      <c r="R61" s="2">
        <v>7</v>
      </c>
      <c r="S61" s="2">
        <v>6</v>
      </c>
      <c r="T61" s="7">
        <v>0.53800000000000003</v>
      </c>
      <c r="U61" s="2">
        <v>23</v>
      </c>
      <c r="V61" s="12">
        <v>37</v>
      </c>
      <c r="W61" s="2">
        <v>14</v>
      </c>
      <c r="X61" s="2">
        <v>3</v>
      </c>
      <c r="Y61" s="2">
        <v>12</v>
      </c>
      <c r="Z61" s="2">
        <f>Y61-X61</f>
        <v>9</v>
      </c>
      <c r="AA61" s="2">
        <f>(Z61/E61)*60</f>
        <v>0.95397933044784045</v>
      </c>
      <c r="AB61" s="2">
        <v>67</v>
      </c>
      <c r="AC61" s="2">
        <f>(AB61/E61)*60</f>
        <v>7.1018461266672555</v>
      </c>
      <c r="AD61" s="2">
        <v>125</v>
      </c>
      <c r="AE61" s="2">
        <f>(AD61/E61)*60</f>
        <v>13.249712922886673</v>
      </c>
      <c r="AF61" s="2">
        <v>41.2</v>
      </c>
      <c r="AG61" s="2">
        <v>18.5</v>
      </c>
      <c r="AH61" s="2">
        <f>AF61-AG61</f>
        <v>22.700000000000003</v>
      </c>
      <c r="AI61" s="2">
        <v>47</v>
      </c>
      <c r="AJ61" s="2">
        <f>(AI61/E61)*60</f>
        <v>4.9818920590053883</v>
      </c>
      <c r="AK61" s="2">
        <v>9</v>
      </c>
      <c r="AL61" s="2">
        <v>18</v>
      </c>
      <c r="AM61" s="2">
        <f>(AL61/E61)*60</f>
        <v>1.9079586608956809</v>
      </c>
      <c r="AN61" s="2" t="s">
        <v>49</v>
      </c>
      <c r="AO61" s="2">
        <v>441</v>
      </c>
      <c r="AP61" s="2">
        <v>220</v>
      </c>
      <c r="AQ61" s="14">
        <f>(AP61/E61)*60</f>
        <v>23.319494744280544</v>
      </c>
    </row>
    <row r="62" spans="1:43" x14ac:dyDescent="0.35">
      <c r="A62" s="5" t="s">
        <v>104</v>
      </c>
      <c r="B62" s="5" t="s">
        <v>105</v>
      </c>
      <c r="C62" s="2" t="s">
        <v>31</v>
      </c>
      <c r="D62" s="2">
        <v>35</v>
      </c>
      <c r="E62" s="3">
        <v>636.01666666666665</v>
      </c>
      <c r="F62" s="2">
        <v>7</v>
      </c>
      <c r="G62" s="14">
        <f>(F62/E62)*60</f>
        <v>0.66036005345771864</v>
      </c>
      <c r="H62" s="2">
        <v>11</v>
      </c>
      <c r="I62" s="14">
        <f>(H62/E62)*60</f>
        <v>1.0377086554335579</v>
      </c>
      <c r="J62" s="2">
        <v>18</v>
      </c>
      <c r="K62" s="2">
        <v>26</v>
      </c>
      <c r="L62" s="2">
        <v>151</v>
      </c>
      <c r="M62" s="2">
        <v>97</v>
      </c>
      <c r="N62" s="2">
        <v>3.31</v>
      </c>
      <c r="O62" s="2">
        <v>13</v>
      </c>
      <c r="P62" s="2">
        <f>(O62/E62)*60</f>
        <v>1.2263829564214774</v>
      </c>
      <c r="Q62" s="2">
        <v>354</v>
      </c>
      <c r="R62" s="2">
        <v>199</v>
      </c>
      <c r="S62" s="2">
        <v>155</v>
      </c>
      <c r="T62" s="7">
        <v>0.56200000000000006</v>
      </c>
      <c r="U62" s="2">
        <v>0</v>
      </c>
      <c r="V62" s="12">
        <v>26</v>
      </c>
      <c r="W62" s="2">
        <v>26</v>
      </c>
      <c r="X62" s="2">
        <v>7</v>
      </c>
      <c r="Y62" s="2">
        <v>20</v>
      </c>
      <c r="Z62" s="2">
        <f>Y62-X62</f>
        <v>13</v>
      </c>
      <c r="AA62" s="2">
        <f>(Z62/E62)*60</f>
        <v>1.2263829564214774</v>
      </c>
      <c r="AB62" s="2">
        <v>161</v>
      </c>
      <c r="AC62" s="2">
        <f>(AB62/E62)*60</f>
        <v>15.188281229527528</v>
      </c>
      <c r="AD62" s="2">
        <v>183</v>
      </c>
      <c r="AE62" s="2">
        <f>(AD62/E62)*60</f>
        <v>17.263698540394646</v>
      </c>
      <c r="AF62" s="2">
        <v>34.200000000000003</v>
      </c>
      <c r="AG62" s="2">
        <v>27.9</v>
      </c>
      <c r="AH62" s="2">
        <f>AF62-AG62</f>
        <v>6.3000000000000043</v>
      </c>
      <c r="AI62" s="2">
        <v>26</v>
      </c>
      <c r="AJ62" s="2">
        <f>(AI62/E62)*60</f>
        <v>2.4527659128429549</v>
      </c>
      <c r="AK62" s="2">
        <v>20</v>
      </c>
      <c r="AL62" s="2">
        <v>26</v>
      </c>
      <c r="AM62" s="2">
        <f>(AL62/E62)*60</f>
        <v>2.4527659128429549</v>
      </c>
      <c r="AN62" s="2" t="s">
        <v>106</v>
      </c>
      <c r="AO62" s="2">
        <v>419</v>
      </c>
      <c r="AP62" s="2">
        <v>228</v>
      </c>
      <c r="AQ62" s="14">
        <f>(AP62/E62)*60</f>
        <v>21.508870312622836</v>
      </c>
    </row>
    <row r="63" spans="1:43" x14ac:dyDescent="0.35">
      <c r="A63" s="5" t="s">
        <v>36</v>
      </c>
      <c r="B63" s="5" t="s">
        <v>34</v>
      </c>
      <c r="C63" s="2" t="s">
        <v>31</v>
      </c>
      <c r="D63" s="2">
        <v>35</v>
      </c>
      <c r="E63" s="3">
        <v>650.0333333333333</v>
      </c>
      <c r="F63" s="2">
        <v>13</v>
      </c>
      <c r="G63" s="14">
        <f>(F63/E63)*60</f>
        <v>1.1999384646941185</v>
      </c>
      <c r="H63" s="2">
        <v>17</v>
      </c>
      <c r="I63" s="14">
        <f>(H63/E63)*60</f>
        <v>1.5691502999846163</v>
      </c>
      <c r="J63" s="2">
        <v>30</v>
      </c>
      <c r="K63" s="2">
        <v>44</v>
      </c>
      <c r="L63" s="2">
        <v>178</v>
      </c>
      <c r="M63" s="2">
        <v>106</v>
      </c>
      <c r="N63" s="2">
        <v>2.86</v>
      </c>
      <c r="O63" s="2">
        <v>14.6</v>
      </c>
      <c r="P63" s="2">
        <f>(O63/E63)*60</f>
        <v>1.3476231988103173</v>
      </c>
      <c r="Q63" s="2">
        <v>568</v>
      </c>
      <c r="R63" s="2">
        <v>289</v>
      </c>
      <c r="S63" s="2">
        <v>279</v>
      </c>
      <c r="T63" s="7">
        <v>0.50900000000000001</v>
      </c>
      <c r="U63" s="2">
        <v>28</v>
      </c>
      <c r="V63" s="12">
        <v>42</v>
      </c>
      <c r="W63" s="2">
        <v>14</v>
      </c>
      <c r="X63" s="2">
        <v>4</v>
      </c>
      <c r="Y63" s="2">
        <v>7</v>
      </c>
      <c r="Z63" s="2">
        <f>Y63-X63</f>
        <v>3</v>
      </c>
      <c r="AA63" s="2">
        <f>(Z63/E63)*60</f>
        <v>0.27690887646787343</v>
      </c>
      <c r="AB63" s="2">
        <v>139</v>
      </c>
      <c r="AC63" s="2">
        <f>(AB63/E63)*60</f>
        <v>12.830111276344804</v>
      </c>
      <c r="AD63" s="2">
        <v>123</v>
      </c>
      <c r="AE63" s="2">
        <f>(AD63/E63)*60</f>
        <v>11.353263935182811</v>
      </c>
      <c r="AF63" s="2">
        <v>46.1</v>
      </c>
      <c r="AG63" s="2">
        <v>20.8</v>
      </c>
      <c r="AH63" s="2">
        <f>AF63-AG63</f>
        <v>25.3</v>
      </c>
      <c r="AI63" s="2">
        <v>44</v>
      </c>
      <c r="AJ63" s="2">
        <f>(AI63/E63)*60</f>
        <v>4.0613301881954778</v>
      </c>
      <c r="AK63" s="2">
        <v>15</v>
      </c>
      <c r="AL63" s="2">
        <v>27</v>
      </c>
      <c r="AM63" s="2">
        <f>(AL63/E63)*60</f>
        <v>2.492179888210861</v>
      </c>
      <c r="AN63" s="2" t="s">
        <v>37</v>
      </c>
      <c r="AO63" s="2">
        <v>417</v>
      </c>
      <c r="AP63" s="2">
        <v>232</v>
      </c>
      <c r="AQ63" s="14">
        <f>(AP63/E63)*60</f>
        <v>21.41428644684888</v>
      </c>
    </row>
    <row r="64" spans="1:43" x14ac:dyDescent="0.35">
      <c r="A64" s="5" t="s">
        <v>149</v>
      </c>
      <c r="B64" s="5" t="s">
        <v>60</v>
      </c>
      <c r="C64" s="2" t="s">
        <v>31</v>
      </c>
      <c r="D64" s="2">
        <v>35</v>
      </c>
      <c r="E64" s="3">
        <v>583</v>
      </c>
      <c r="F64" s="2">
        <v>3</v>
      </c>
      <c r="G64" s="14">
        <f>(F64/E64)*60</f>
        <v>0.30874785591766724</v>
      </c>
      <c r="H64" s="2">
        <v>9</v>
      </c>
      <c r="I64" s="14">
        <f>(H64/E64)*60</f>
        <v>0.92624356775300176</v>
      </c>
      <c r="J64" s="2">
        <v>12</v>
      </c>
      <c r="K64" s="2">
        <v>13</v>
      </c>
      <c r="L64" s="2">
        <v>68</v>
      </c>
      <c r="M64" s="2">
        <v>44</v>
      </c>
      <c r="N64" s="2">
        <v>2.31</v>
      </c>
      <c r="O64" s="2">
        <v>5.6</v>
      </c>
      <c r="P64" s="2">
        <f>(O64/E64)*60</f>
        <v>0.57632933104631212</v>
      </c>
      <c r="Q64" s="2">
        <v>2</v>
      </c>
      <c r="R64" s="2">
        <v>0</v>
      </c>
      <c r="S64" s="2">
        <v>2</v>
      </c>
      <c r="T64" s="2">
        <v>0</v>
      </c>
      <c r="U64" s="2">
        <v>5</v>
      </c>
      <c r="V64" s="12">
        <v>21</v>
      </c>
      <c r="W64" s="2">
        <v>16</v>
      </c>
      <c r="X64" s="2">
        <v>3</v>
      </c>
      <c r="Y64" s="2">
        <v>8</v>
      </c>
      <c r="Z64" s="2">
        <f>Y64-X64</f>
        <v>5</v>
      </c>
      <c r="AA64" s="2">
        <f>(Z64/E64)*60</f>
        <v>0.51457975986277871</v>
      </c>
      <c r="AB64" s="2">
        <v>90</v>
      </c>
      <c r="AC64" s="2">
        <f>(AB64/E64)*60</f>
        <v>9.2624356775300178</v>
      </c>
      <c r="AD64" s="2">
        <v>139</v>
      </c>
      <c r="AE64" s="2">
        <f>(AD64/E64)*60</f>
        <v>14.305317324185248</v>
      </c>
      <c r="AF64" s="2">
        <v>22.5</v>
      </c>
      <c r="AG64" s="2">
        <v>26.5</v>
      </c>
      <c r="AH64" s="2">
        <f>AF64-AG64</f>
        <v>-4</v>
      </c>
      <c r="AI64" s="2">
        <v>13</v>
      </c>
      <c r="AJ64" s="2">
        <f>(AI64/E64)*60</f>
        <v>1.3379073756432247</v>
      </c>
      <c r="AK64" s="2">
        <v>10</v>
      </c>
      <c r="AL64" s="2">
        <v>24</v>
      </c>
      <c r="AM64" s="2">
        <f>(AL64/E64)*60</f>
        <v>2.4699828473413379</v>
      </c>
      <c r="AN64" s="2" t="s">
        <v>150</v>
      </c>
      <c r="AO64" s="2">
        <v>362</v>
      </c>
      <c r="AP64" s="2">
        <v>196</v>
      </c>
      <c r="AQ64" s="14">
        <f>(AP64/E64)*60</f>
        <v>20.171526586620924</v>
      </c>
    </row>
    <row r="65" spans="1:43" x14ac:dyDescent="0.35">
      <c r="A65" s="5" t="s">
        <v>289</v>
      </c>
      <c r="B65" s="5" t="s">
        <v>105</v>
      </c>
      <c r="C65" s="2" t="s">
        <v>31</v>
      </c>
      <c r="D65" s="2">
        <v>35</v>
      </c>
      <c r="E65" s="3">
        <v>514.11666666666667</v>
      </c>
      <c r="F65" s="2">
        <v>1</v>
      </c>
      <c r="G65" s="14">
        <f>(F65/E65)*60</f>
        <v>0.11670502804162479</v>
      </c>
      <c r="H65" s="2">
        <v>5</v>
      </c>
      <c r="I65" s="14">
        <f>(H65/E65)*60</f>
        <v>0.58352514020812396</v>
      </c>
      <c r="J65" s="2">
        <v>6</v>
      </c>
      <c r="K65" s="2">
        <v>14</v>
      </c>
      <c r="L65" s="2">
        <v>59</v>
      </c>
      <c r="M65" s="2">
        <v>32</v>
      </c>
      <c r="N65" s="2">
        <v>2.14</v>
      </c>
      <c r="O65" s="2">
        <v>5.0999999999999996</v>
      </c>
      <c r="P65" s="2">
        <f>(O65/E65)*60</f>
        <v>0.59519564301228634</v>
      </c>
      <c r="Q65" s="2">
        <v>22</v>
      </c>
      <c r="R65" s="2">
        <v>8</v>
      </c>
      <c r="S65" s="2">
        <v>14</v>
      </c>
      <c r="T65" s="7">
        <v>0.36399999999999999</v>
      </c>
      <c r="U65" s="2">
        <v>6</v>
      </c>
      <c r="V65" s="12">
        <v>10</v>
      </c>
      <c r="W65" s="2">
        <v>16</v>
      </c>
      <c r="X65" s="2">
        <v>7</v>
      </c>
      <c r="Y65" s="2">
        <v>4</v>
      </c>
      <c r="Z65" s="2">
        <f>Y65-X65</f>
        <v>-3</v>
      </c>
      <c r="AA65" s="2">
        <f>(Z65/E65)*60</f>
        <v>-0.35011508412487435</v>
      </c>
      <c r="AB65" s="2">
        <v>79</v>
      </c>
      <c r="AC65" s="2">
        <f>(AB65/E65)*60</f>
        <v>9.2196972152883596</v>
      </c>
      <c r="AD65" s="2">
        <v>151</v>
      </c>
      <c r="AE65" s="2">
        <f>(AD65/E65)*60</f>
        <v>17.622459234285344</v>
      </c>
      <c r="AF65" s="2">
        <v>18.7</v>
      </c>
      <c r="AG65" s="2">
        <v>32.799999999999997</v>
      </c>
      <c r="AH65" s="2">
        <f>AF65-AG65</f>
        <v>-14.099999999999998</v>
      </c>
      <c r="AI65" s="2">
        <v>14</v>
      </c>
      <c r="AJ65" s="2">
        <f>(AI65/E65)*60</f>
        <v>1.6338703925827469</v>
      </c>
      <c r="AK65" s="2">
        <v>12</v>
      </c>
      <c r="AL65" s="2">
        <v>9</v>
      </c>
      <c r="AM65" s="2">
        <f>(AL65/E65)*60</f>
        <v>1.0503452523746231</v>
      </c>
      <c r="AN65" s="2" t="s">
        <v>290</v>
      </c>
      <c r="AO65" s="2">
        <v>359</v>
      </c>
      <c r="AP65" s="2">
        <v>172</v>
      </c>
      <c r="AQ65" s="14">
        <f>(AP65/E65)*60</f>
        <v>20.073264823159466</v>
      </c>
    </row>
    <row r="66" spans="1:43" x14ac:dyDescent="0.35">
      <c r="A66" s="5" t="s">
        <v>96</v>
      </c>
      <c r="B66" s="5" t="s">
        <v>71</v>
      </c>
      <c r="C66" s="2" t="s">
        <v>31</v>
      </c>
      <c r="D66" s="2">
        <v>35</v>
      </c>
      <c r="E66" s="3">
        <v>587.68333333333328</v>
      </c>
      <c r="F66" s="2">
        <v>13</v>
      </c>
      <c r="G66" s="14">
        <f>(F66/E66)*60</f>
        <v>1.3272453985990189</v>
      </c>
      <c r="H66" s="2">
        <v>10</v>
      </c>
      <c r="I66" s="14">
        <f>(H66/E66)*60</f>
        <v>1.0209579989223223</v>
      </c>
      <c r="J66" s="2">
        <v>23</v>
      </c>
      <c r="K66" s="2">
        <v>35</v>
      </c>
      <c r="L66" s="2">
        <v>139</v>
      </c>
      <c r="M66" s="2">
        <v>88</v>
      </c>
      <c r="N66" s="2">
        <v>3.61</v>
      </c>
      <c r="O66" s="2">
        <v>13.3</v>
      </c>
      <c r="P66" s="2">
        <f>(O66/E66)*60</f>
        <v>1.3578741385666886</v>
      </c>
      <c r="Q66" s="2">
        <v>489</v>
      </c>
      <c r="R66" s="2">
        <v>243</v>
      </c>
      <c r="S66" s="2">
        <v>246</v>
      </c>
      <c r="T66" s="7">
        <v>0.497</v>
      </c>
      <c r="U66" s="2">
        <v>12</v>
      </c>
      <c r="V66" s="12">
        <v>27</v>
      </c>
      <c r="W66" s="2">
        <v>15</v>
      </c>
      <c r="X66" s="2">
        <v>5</v>
      </c>
      <c r="Y66" s="2">
        <v>7</v>
      </c>
      <c r="Z66" s="2">
        <f>Y66-X66</f>
        <v>2</v>
      </c>
      <c r="AA66" s="2">
        <f>(Z66/E66)*60</f>
        <v>0.20419159978446444</v>
      </c>
      <c r="AB66" s="2">
        <v>106</v>
      </c>
      <c r="AC66" s="2">
        <f>(AB66/E66)*60</f>
        <v>10.822154788576615</v>
      </c>
      <c r="AD66" s="2">
        <v>128</v>
      </c>
      <c r="AE66" s="2">
        <f>(AD66/E66)*60</f>
        <v>13.068262386205724</v>
      </c>
      <c r="AF66" s="2">
        <v>36.4</v>
      </c>
      <c r="AG66" s="2">
        <v>26.2</v>
      </c>
      <c r="AH66" s="2">
        <f>AF66-AG66</f>
        <v>10.199999999999999</v>
      </c>
      <c r="AI66" s="2">
        <v>35</v>
      </c>
      <c r="AJ66" s="2">
        <f>(AI66/E66)*60</f>
        <v>3.5733529962281279</v>
      </c>
      <c r="AK66" s="2">
        <v>25</v>
      </c>
      <c r="AL66" s="2">
        <v>20</v>
      </c>
      <c r="AM66" s="2">
        <f>(AL66/E66)*60</f>
        <v>2.0419159978446446</v>
      </c>
      <c r="AN66" s="2" t="s">
        <v>97</v>
      </c>
      <c r="AO66" s="2">
        <v>382</v>
      </c>
      <c r="AP66" s="2">
        <v>182</v>
      </c>
      <c r="AQ66" s="14">
        <f>(AP66/E66)*60</f>
        <v>18.581435580386266</v>
      </c>
    </row>
    <row r="67" spans="1:43" x14ac:dyDescent="0.35">
      <c r="A67" s="5" t="s">
        <v>212</v>
      </c>
      <c r="B67" s="5" t="s">
        <v>122</v>
      </c>
      <c r="C67" s="2" t="s">
        <v>31</v>
      </c>
      <c r="D67" s="2">
        <v>35</v>
      </c>
      <c r="E67" s="3">
        <v>585.9666666666667</v>
      </c>
      <c r="F67" s="2">
        <v>5</v>
      </c>
      <c r="G67" s="14">
        <f>(F67/E67)*60</f>
        <v>0.51197451504636204</v>
      </c>
      <c r="H67" s="2">
        <v>8</v>
      </c>
      <c r="I67" s="14">
        <f>(H67/E67)*60</f>
        <v>0.8191592240741794</v>
      </c>
      <c r="J67" s="2">
        <v>13</v>
      </c>
      <c r="K67" s="2">
        <v>38</v>
      </c>
      <c r="L67" s="2">
        <v>133</v>
      </c>
      <c r="M67" s="2">
        <v>85</v>
      </c>
      <c r="N67" s="2">
        <v>3.3</v>
      </c>
      <c r="O67" s="2">
        <v>13</v>
      </c>
      <c r="P67" s="2">
        <f>(O67/E67)*60</f>
        <v>1.3311337391205416</v>
      </c>
      <c r="Q67" s="2">
        <v>0</v>
      </c>
      <c r="R67" s="2">
        <v>0</v>
      </c>
      <c r="S67" s="2">
        <v>0</v>
      </c>
      <c r="T67" s="2">
        <v>0</v>
      </c>
      <c r="U67" s="2">
        <v>2</v>
      </c>
      <c r="V67" s="12">
        <v>17</v>
      </c>
      <c r="W67" s="2">
        <v>19</v>
      </c>
      <c r="X67" s="2">
        <v>8</v>
      </c>
      <c r="Y67" s="2">
        <v>18</v>
      </c>
      <c r="Z67" s="2">
        <f>Y67-X67</f>
        <v>10</v>
      </c>
      <c r="AA67" s="2">
        <f>(Z67/E67)*60</f>
        <v>1.0239490300927241</v>
      </c>
      <c r="AB67" s="2">
        <v>79</v>
      </c>
      <c r="AC67" s="2">
        <f>(AB67/E67)*60</f>
        <v>8.0891973377325215</v>
      </c>
      <c r="AD67" s="2">
        <v>129</v>
      </c>
      <c r="AE67" s="2">
        <f>(AD67/E67)*60</f>
        <v>13.208942488196143</v>
      </c>
      <c r="AF67" s="2">
        <v>35.200000000000003</v>
      </c>
      <c r="AG67" s="2">
        <v>30.8</v>
      </c>
      <c r="AH67" s="2">
        <f>AF67-AG67</f>
        <v>4.4000000000000021</v>
      </c>
      <c r="AI67" s="2">
        <v>38</v>
      </c>
      <c r="AJ67" s="2">
        <f>(AI67/E67)*60</f>
        <v>3.8910063143523521</v>
      </c>
      <c r="AK67" s="2">
        <v>16</v>
      </c>
      <c r="AL67" s="2">
        <v>16</v>
      </c>
      <c r="AM67" s="2">
        <f>(AL67/E67)*60</f>
        <v>1.6383184481483588</v>
      </c>
      <c r="AN67" s="2" t="s">
        <v>213</v>
      </c>
      <c r="AO67" s="2">
        <v>370</v>
      </c>
      <c r="AP67" s="2">
        <v>176</v>
      </c>
      <c r="AQ67" s="14">
        <f>(AP67/E67)*60</f>
        <v>18.021502929631946</v>
      </c>
    </row>
    <row r="68" spans="1:43" x14ac:dyDescent="0.35">
      <c r="A68" s="5" t="s">
        <v>191</v>
      </c>
      <c r="B68" s="5" t="s">
        <v>108</v>
      </c>
      <c r="C68" s="2" t="s">
        <v>31</v>
      </c>
      <c r="D68" s="2">
        <v>35</v>
      </c>
      <c r="E68" s="3">
        <v>648.7833333333333</v>
      </c>
      <c r="F68" s="2">
        <v>8</v>
      </c>
      <c r="G68" s="14">
        <f>(F68/E68)*60</f>
        <v>0.73984637911989104</v>
      </c>
      <c r="H68" s="2">
        <v>3</v>
      </c>
      <c r="I68" s="14">
        <f>(H68/E68)*60</f>
        <v>0.2774423921699592</v>
      </c>
      <c r="J68" s="2">
        <v>11</v>
      </c>
      <c r="K68" s="2">
        <v>18</v>
      </c>
      <c r="L68" s="2">
        <v>79</v>
      </c>
      <c r="M68" s="2">
        <v>51</v>
      </c>
      <c r="N68" s="2">
        <v>2.82</v>
      </c>
      <c r="O68" s="2">
        <v>8</v>
      </c>
      <c r="P68" s="2">
        <f>(O68/E68)*60</f>
        <v>0.73984637911989104</v>
      </c>
      <c r="Q68" s="2">
        <v>511</v>
      </c>
      <c r="R68" s="2">
        <v>303</v>
      </c>
      <c r="S68" s="2">
        <v>208</v>
      </c>
      <c r="T68" s="7">
        <v>0.59299999999999997</v>
      </c>
      <c r="U68" s="2">
        <v>15</v>
      </c>
      <c r="V68" s="12">
        <v>18</v>
      </c>
      <c r="W68" s="2">
        <v>33</v>
      </c>
      <c r="X68" s="2">
        <v>15</v>
      </c>
      <c r="Y68" s="2">
        <v>9</v>
      </c>
      <c r="Z68" s="2">
        <f>Y68-X68</f>
        <v>-6</v>
      </c>
      <c r="AA68" s="2">
        <f>(Z68/E68)*60</f>
        <v>-0.55488478433991839</v>
      </c>
      <c r="AB68" s="2">
        <v>118</v>
      </c>
      <c r="AC68" s="2">
        <f>(AB68/E68)*60</f>
        <v>10.912734092018393</v>
      </c>
      <c r="AD68" s="2">
        <v>105</v>
      </c>
      <c r="AE68" s="2">
        <f>(AD68/E68)*60</f>
        <v>9.7104837259485723</v>
      </c>
      <c r="AF68" s="2">
        <v>21.7</v>
      </c>
      <c r="AG68" s="2">
        <v>46.7</v>
      </c>
      <c r="AH68" s="2">
        <f>AF68-AG68</f>
        <v>-25.000000000000004</v>
      </c>
      <c r="AI68" s="2">
        <v>18</v>
      </c>
      <c r="AJ68" s="2">
        <f>(AI68/E68)*60</f>
        <v>1.6646543530197551</v>
      </c>
      <c r="AK68" s="2">
        <v>3</v>
      </c>
      <c r="AL68" s="2">
        <v>13</v>
      </c>
      <c r="AM68" s="2">
        <f>(AL68/E68)*60</f>
        <v>1.2022503660698229</v>
      </c>
      <c r="AN68" s="2" t="s">
        <v>192</v>
      </c>
      <c r="AO68" s="2">
        <v>305</v>
      </c>
      <c r="AP68" s="2">
        <v>185</v>
      </c>
      <c r="AQ68" s="14">
        <f>(AP68/E68)*60</f>
        <v>17.108947517147485</v>
      </c>
    </row>
    <row r="69" spans="1:43" x14ac:dyDescent="0.35">
      <c r="A69" s="5" t="s">
        <v>253</v>
      </c>
      <c r="B69" s="5" t="s">
        <v>46</v>
      </c>
      <c r="C69" s="2" t="s">
        <v>39</v>
      </c>
      <c r="D69" s="2">
        <v>35</v>
      </c>
      <c r="E69" s="3">
        <v>352.41666666666669</v>
      </c>
      <c r="F69" s="2">
        <v>3</v>
      </c>
      <c r="G69" s="14">
        <f>(F69/E69)*60</f>
        <v>0.51075904469141642</v>
      </c>
      <c r="H69" s="2">
        <v>1</v>
      </c>
      <c r="I69" s="14">
        <f>(H69/E69)*60</f>
        <v>0.17025301489713879</v>
      </c>
      <c r="J69" s="2">
        <v>4</v>
      </c>
      <c r="K69" s="2">
        <v>1</v>
      </c>
      <c r="L69" s="2">
        <v>66</v>
      </c>
      <c r="M69" s="2">
        <v>34</v>
      </c>
      <c r="N69" s="2">
        <v>0.56000000000000005</v>
      </c>
      <c r="O69" s="2">
        <v>1.44</v>
      </c>
      <c r="P69" s="2">
        <f>(O69/E69)*60</f>
        <v>0.24516434145187982</v>
      </c>
      <c r="Q69" s="2">
        <v>10</v>
      </c>
      <c r="R69" s="2">
        <v>2</v>
      </c>
      <c r="S69" s="2">
        <v>8</v>
      </c>
      <c r="T69" s="8">
        <v>0.2</v>
      </c>
      <c r="U69" s="2">
        <v>4</v>
      </c>
      <c r="V69" s="12">
        <v>13</v>
      </c>
      <c r="W69" s="2">
        <v>9</v>
      </c>
      <c r="X69" s="2">
        <v>1</v>
      </c>
      <c r="Y69" s="2">
        <v>1</v>
      </c>
      <c r="Z69" s="2">
        <f>Y69-X69</f>
        <v>0</v>
      </c>
      <c r="AA69" s="2">
        <f>(Z69/E69)*60</f>
        <v>0</v>
      </c>
      <c r="AB69" s="2">
        <v>116</v>
      </c>
      <c r="AC69" s="2">
        <f>(AB69/E69)*60</f>
        <v>19.749349728068097</v>
      </c>
      <c r="AD69" s="2">
        <v>88</v>
      </c>
      <c r="AE69" s="2">
        <f>(AD69/E69)*60</f>
        <v>14.982265310948215</v>
      </c>
      <c r="AF69" s="2">
        <v>18.7</v>
      </c>
      <c r="AG69" s="2">
        <v>16.899999999999999</v>
      </c>
      <c r="AH69" s="2">
        <f>AF69-AG69</f>
        <v>1.8000000000000007</v>
      </c>
      <c r="AI69" s="2">
        <v>1</v>
      </c>
      <c r="AJ69" s="2">
        <f>(AI69/E69)*60</f>
        <v>0.17025301489713879</v>
      </c>
      <c r="AK69" s="2">
        <v>2</v>
      </c>
      <c r="AL69" s="2">
        <v>5</v>
      </c>
      <c r="AM69" s="2">
        <f>(AL69/E69)*60</f>
        <v>0.851265074485694</v>
      </c>
      <c r="AN69" s="2" t="s">
        <v>254</v>
      </c>
      <c r="AO69" s="2">
        <v>170</v>
      </c>
      <c r="AP69" s="2">
        <v>95</v>
      </c>
      <c r="AQ69" s="14">
        <f>(AP69/E69)*60</f>
        <v>16.174036415228187</v>
      </c>
    </row>
    <row r="70" spans="1:43" x14ac:dyDescent="0.35">
      <c r="A70" s="5" t="s">
        <v>121</v>
      </c>
      <c r="B70" s="5" t="s">
        <v>122</v>
      </c>
      <c r="C70" s="2" t="s">
        <v>31</v>
      </c>
      <c r="D70" s="2">
        <v>35</v>
      </c>
      <c r="E70" s="3">
        <v>604.51666666666665</v>
      </c>
      <c r="F70" s="2">
        <v>8</v>
      </c>
      <c r="G70" s="14">
        <f>(F70/E70)*60</f>
        <v>0.79402277301425384</v>
      </c>
      <c r="H70" s="2">
        <v>7</v>
      </c>
      <c r="I70" s="14">
        <f>(H70/E70)*60</f>
        <v>0.69476992638747215</v>
      </c>
      <c r="J70" s="2">
        <v>15</v>
      </c>
      <c r="K70" s="2">
        <v>25</v>
      </c>
      <c r="L70" s="2">
        <v>170</v>
      </c>
      <c r="M70" s="2">
        <v>88</v>
      </c>
      <c r="N70" s="2">
        <v>2.67</v>
      </c>
      <c r="O70" s="2">
        <v>13.2</v>
      </c>
      <c r="P70" s="2">
        <f>(O70/E70)*60</f>
        <v>1.3101375754735187</v>
      </c>
      <c r="Q70" s="2">
        <v>13</v>
      </c>
      <c r="R70" s="2">
        <v>6</v>
      </c>
      <c r="S70" s="2">
        <v>7</v>
      </c>
      <c r="T70" s="7">
        <v>0.46200000000000002</v>
      </c>
      <c r="U70" s="2">
        <v>8</v>
      </c>
      <c r="V70" s="12">
        <v>24</v>
      </c>
      <c r="W70" s="2">
        <v>32</v>
      </c>
      <c r="X70" s="2">
        <v>5</v>
      </c>
      <c r="Y70" s="2">
        <v>12</v>
      </c>
      <c r="Z70" s="2">
        <f>Y70-X70</f>
        <v>7</v>
      </c>
      <c r="AA70" s="2">
        <f>(Z70/E70)*60</f>
        <v>0.69476992638747215</v>
      </c>
      <c r="AB70" s="2">
        <v>106</v>
      </c>
      <c r="AC70" s="2">
        <f>(AB70/E70)*60</f>
        <v>10.520801742438865</v>
      </c>
      <c r="AD70" s="2">
        <v>161</v>
      </c>
      <c r="AE70" s="2">
        <f>(AD70/E70)*60</f>
        <v>15.979708306911858</v>
      </c>
      <c r="AF70" s="2">
        <v>37.6</v>
      </c>
      <c r="AG70" s="2">
        <v>36.5</v>
      </c>
      <c r="AH70" s="2">
        <f>AF70-AG70</f>
        <v>1.1000000000000014</v>
      </c>
      <c r="AI70" s="2">
        <v>25</v>
      </c>
      <c r="AJ70" s="2">
        <f>(AI70/E70)*60</f>
        <v>2.4813211656695429</v>
      </c>
      <c r="AK70" s="2">
        <v>26</v>
      </c>
      <c r="AL70" s="2">
        <v>21</v>
      </c>
      <c r="AM70" s="2">
        <f>(AL70/E70)*60</f>
        <v>2.0843097791624161</v>
      </c>
      <c r="AN70" s="2" t="s">
        <v>123</v>
      </c>
      <c r="AO70" s="2">
        <v>352</v>
      </c>
      <c r="AP70" s="2">
        <v>162</v>
      </c>
      <c r="AQ70" s="14">
        <f>(AP70/E70)*60</f>
        <v>16.078961153538639</v>
      </c>
    </row>
    <row r="71" spans="1:43" x14ac:dyDescent="0.35">
      <c r="A71" s="5" t="s">
        <v>207</v>
      </c>
      <c r="B71" s="5" t="s">
        <v>71</v>
      </c>
      <c r="C71" s="2" t="s">
        <v>31</v>
      </c>
      <c r="D71" s="2">
        <v>35</v>
      </c>
      <c r="E71" s="3">
        <v>550.38333333333333</v>
      </c>
      <c r="F71" s="2">
        <v>8</v>
      </c>
      <c r="G71" s="14">
        <f>(F71/E71)*60</f>
        <v>0.87211943191109231</v>
      </c>
      <c r="H71" s="2">
        <v>5</v>
      </c>
      <c r="I71" s="14">
        <f>(H71/E71)*60</f>
        <v>0.5450746449444327</v>
      </c>
      <c r="J71" s="2">
        <v>13</v>
      </c>
      <c r="K71" s="2">
        <v>24</v>
      </c>
      <c r="L71" s="2">
        <v>101</v>
      </c>
      <c r="M71" s="2">
        <v>59</v>
      </c>
      <c r="N71" s="2">
        <v>2.83</v>
      </c>
      <c r="O71" s="2">
        <v>8.6</v>
      </c>
      <c r="P71" s="2">
        <f>(O71/E71)*60</f>
        <v>0.93752838930442417</v>
      </c>
      <c r="Q71" s="2">
        <v>443</v>
      </c>
      <c r="R71" s="2">
        <v>254</v>
      </c>
      <c r="S71" s="2">
        <v>189</v>
      </c>
      <c r="T71" s="7">
        <v>0.57299999999999995</v>
      </c>
      <c r="U71" s="2">
        <v>2</v>
      </c>
      <c r="V71" s="12">
        <v>18</v>
      </c>
      <c r="W71" s="2">
        <v>20</v>
      </c>
      <c r="X71" s="2">
        <v>8</v>
      </c>
      <c r="Y71" s="2">
        <v>2</v>
      </c>
      <c r="Z71" s="2">
        <f>Y71-X71</f>
        <v>-6</v>
      </c>
      <c r="AA71" s="2">
        <f>(Z71/E71)*60</f>
        <v>-0.65408957393331923</v>
      </c>
      <c r="AB71" s="2">
        <v>104</v>
      </c>
      <c r="AC71" s="2">
        <f>(AB71/E71)*60</f>
        <v>11.337552614844201</v>
      </c>
      <c r="AD71" s="2">
        <v>128</v>
      </c>
      <c r="AE71" s="2">
        <f>(AD71/E71)*60</f>
        <v>13.953910910577477</v>
      </c>
      <c r="AF71" s="2">
        <v>26.8</v>
      </c>
      <c r="AG71" s="2">
        <v>26</v>
      </c>
      <c r="AH71" s="2">
        <f>AF71-AG71</f>
        <v>0.80000000000000071</v>
      </c>
      <c r="AI71" s="2">
        <v>24</v>
      </c>
      <c r="AJ71" s="2">
        <f>(AI71/E71)*60</f>
        <v>2.6163582957332769</v>
      </c>
      <c r="AK71" s="2">
        <v>10</v>
      </c>
      <c r="AL71" s="2">
        <v>15</v>
      </c>
      <c r="AM71" s="2">
        <f>(AL71/E71)*60</f>
        <v>1.6352239348332982</v>
      </c>
      <c r="AN71" s="2" t="s">
        <v>130</v>
      </c>
      <c r="AO71" s="2">
        <v>326</v>
      </c>
      <c r="AP71" s="2">
        <v>147</v>
      </c>
      <c r="AQ71" s="14">
        <f>(AP71/E71)*60</f>
        <v>16.025194561366323</v>
      </c>
    </row>
    <row r="72" spans="1:43" x14ac:dyDescent="0.35">
      <c r="A72" s="5" t="s">
        <v>325</v>
      </c>
      <c r="B72" s="5" t="s">
        <v>46</v>
      </c>
      <c r="C72" s="2" t="s">
        <v>31</v>
      </c>
      <c r="D72" s="2">
        <v>35</v>
      </c>
      <c r="E72" s="3">
        <v>421.55</v>
      </c>
      <c r="F72" s="2">
        <v>0</v>
      </c>
      <c r="G72" s="14">
        <f>(F72/E72)*60</f>
        <v>0</v>
      </c>
      <c r="H72" s="2">
        <v>3</v>
      </c>
      <c r="I72" s="14">
        <f>(H72/E72)*60</f>
        <v>0.42699561143399356</v>
      </c>
      <c r="J72" s="2">
        <v>3</v>
      </c>
      <c r="K72" s="2">
        <v>11</v>
      </c>
      <c r="L72" s="2">
        <v>37</v>
      </c>
      <c r="M72" s="2">
        <v>23</v>
      </c>
      <c r="N72" s="2">
        <v>1.61</v>
      </c>
      <c r="O72" s="2">
        <v>3.04</v>
      </c>
      <c r="P72" s="2">
        <f>(O72/E72)*60</f>
        <v>0.43268888625311352</v>
      </c>
      <c r="Q72" s="2">
        <v>260</v>
      </c>
      <c r="R72" s="2">
        <v>112</v>
      </c>
      <c r="S72" s="2">
        <v>148</v>
      </c>
      <c r="T72" s="7">
        <v>0.43099999999999999</v>
      </c>
      <c r="U72" s="2">
        <v>5</v>
      </c>
      <c r="V72" s="12">
        <v>7</v>
      </c>
      <c r="W72" s="2">
        <v>12</v>
      </c>
      <c r="X72" s="2">
        <v>6</v>
      </c>
      <c r="Y72" s="2">
        <v>4</v>
      </c>
      <c r="Z72" s="2">
        <f>Y72-X72</f>
        <v>-2</v>
      </c>
      <c r="AA72" s="2">
        <f>(Z72/E72)*60</f>
        <v>-0.28466374095599573</v>
      </c>
      <c r="AB72" s="2">
        <v>71</v>
      </c>
      <c r="AC72" s="2">
        <f>(AB72/E72)*60</f>
        <v>10.105562803937849</v>
      </c>
      <c r="AD72" s="2">
        <v>90</v>
      </c>
      <c r="AE72" s="2">
        <f>(AD72/E72)*60</f>
        <v>12.809868343019806</v>
      </c>
      <c r="AF72" s="2">
        <v>15.3</v>
      </c>
      <c r="AG72" s="2">
        <v>17.8</v>
      </c>
      <c r="AH72" s="2">
        <f>AF72-AG72</f>
        <v>-2.5</v>
      </c>
      <c r="AI72" s="2">
        <v>11</v>
      </c>
      <c r="AJ72" s="2">
        <f>(AI72/E72)*60</f>
        <v>1.5656505752579766</v>
      </c>
      <c r="AK72" s="2">
        <v>2</v>
      </c>
      <c r="AL72" s="2">
        <v>16</v>
      </c>
      <c r="AM72" s="2">
        <f>(AL72/E72)*60</f>
        <v>2.2773099276479658</v>
      </c>
      <c r="AN72" s="2" t="s">
        <v>326</v>
      </c>
      <c r="AO72" s="2">
        <v>250</v>
      </c>
      <c r="AP72" s="2">
        <v>110</v>
      </c>
      <c r="AQ72" s="14">
        <f>(AP72/E72)*60</f>
        <v>15.656505752579763</v>
      </c>
    </row>
    <row r="73" spans="1:43" x14ac:dyDescent="0.35">
      <c r="A73" s="5" t="s">
        <v>350</v>
      </c>
      <c r="B73" s="5" t="s">
        <v>60</v>
      </c>
      <c r="C73" s="2" t="s">
        <v>31</v>
      </c>
      <c r="D73" s="2">
        <v>35</v>
      </c>
      <c r="E73" s="3">
        <v>324.26666666666665</v>
      </c>
      <c r="F73" s="2">
        <v>1</v>
      </c>
      <c r="G73" s="14">
        <f>(F73/E73)*60</f>
        <v>0.18503289473684212</v>
      </c>
      <c r="H73" s="2">
        <v>1</v>
      </c>
      <c r="I73" s="14">
        <f>(H73/E73)*60</f>
        <v>0.18503289473684212</v>
      </c>
      <c r="J73" s="2">
        <v>2</v>
      </c>
      <c r="K73" s="2">
        <v>8</v>
      </c>
      <c r="L73" s="2">
        <v>30</v>
      </c>
      <c r="M73" s="2">
        <v>18</v>
      </c>
      <c r="N73" s="2">
        <v>1.51</v>
      </c>
      <c r="O73" s="2">
        <v>2.62</v>
      </c>
      <c r="P73" s="2">
        <f>(O73/E73)*60</f>
        <v>0.48478618421052633</v>
      </c>
      <c r="Q73" s="2">
        <v>0</v>
      </c>
      <c r="R73" s="2">
        <v>0</v>
      </c>
      <c r="S73" s="2">
        <v>0</v>
      </c>
      <c r="T73" s="2">
        <v>0</v>
      </c>
      <c r="U73" s="2">
        <v>7</v>
      </c>
      <c r="V73" s="12">
        <v>5</v>
      </c>
      <c r="W73" s="2">
        <v>12</v>
      </c>
      <c r="X73" s="2">
        <v>5</v>
      </c>
      <c r="Y73" s="2">
        <v>3</v>
      </c>
      <c r="Z73" s="2">
        <f>Y73-X73</f>
        <v>-2</v>
      </c>
      <c r="AA73" s="2">
        <f>(Z73/E73)*60</f>
        <v>-0.37006578947368424</v>
      </c>
      <c r="AB73" s="2">
        <v>30</v>
      </c>
      <c r="AC73" s="2">
        <f>(AB73/E73)*60</f>
        <v>5.5509868421052637</v>
      </c>
      <c r="AD73" s="2">
        <v>72</v>
      </c>
      <c r="AE73" s="2">
        <f>(AD73/E73)*60</f>
        <v>13.322368421052632</v>
      </c>
      <c r="AF73" s="2">
        <v>8.8000000000000007</v>
      </c>
      <c r="AG73" s="2">
        <v>15.8</v>
      </c>
      <c r="AH73" s="2">
        <f>AF73-AG73</f>
        <v>-7</v>
      </c>
      <c r="AI73" s="2">
        <v>8</v>
      </c>
      <c r="AJ73" s="2">
        <f>(AI73/E73)*60</f>
        <v>1.4802631578947369</v>
      </c>
      <c r="AK73" s="2">
        <v>2</v>
      </c>
      <c r="AL73" s="2">
        <v>4</v>
      </c>
      <c r="AM73" s="2">
        <f>(AL73/E73)*60</f>
        <v>0.74013157894736847</v>
      </c>
      <c r="AN73" s="2" t="s">
        <v>351</v>
      </c>
      <c r="AO73" s="2">
        <v>179</v>
      </c>
      <c r="AP73" s="2">
        <v>84</v>
      </c>
      <c r="AQ73" s="14">
        <f>(AP73/E73)*60</f>
        <v>15.54276315789474</v>
      </c>
    </row>
    <row r="74" spans="1:43" x14ac:dyDescent="0.35">
      <c r="A74" s="5" t="s">
        <v>57</v>
      </c>
      <c r="B74" s="5" t="s">
        <v>53</v>
      </c>
      <c r="C74" s="2" t="s">
        <v>31</v>
      </c>
      <c r="D74" s="2">
        <v>35</v>
      </c>
      <c r="E74" s="3">
        <v>616.93333333333328</v>
      </c>
      <c r="F74" s="2">
        <v>9</v>
      </c>
      <c r="G74" s="14">
        <f>(F74/E74)*60</f>
        <v>0.8752971687918738</v>
      </c>
      <c r="H74" s="2">
        <v>14</v>
      </c>
      <c r="I74" s="14">
        <f>(H74/E74)*60</f>
        <v>1.3615733736762483</v>
      </c>
      <c r="J74" s="2">
        <v>23</v>
      </c>
      <c r="K74" s="2">
        <v>29</v>
      </c>
      <c r="L74" s="2">
        <v>173</v>
      </c>
      <c r="M74" s="2">
        <v>93</v>
      </c>
      <c r="N74" s="2">
        <v>2.39</v>
      </c>
      <c r="O74" s="2">
        <v>11.9</v>
      </c>
      <c r="P74" s="2">
        <f>(O74/E74)*60</f>
        <v>1.1573373676248109</v>
      </c>
      <c r="Q74" s="2">
        <v>428</v>
      </c>
      <c r="R74" s="2">
        <v>269</v>
      </c>
      <c r="S74" s="2">
        <v>159</v>
      </c>
      <c r="T74" s="7">
        <v>0.629</v>
      </c>
      <c r="U74" s="2">
        <v>13</v>
      </c>
      <c r="V74" s="12">
        <v>34</v>
      </c>
      <c r="W74" s="2">
        <v>21</v>
      </c>
      <c r="X74" s="2">
        <v>3</v>
      </c>
      <c r="Y74" s="2">
        <v>8</v>
      </c>
      <c r="Z74" s="2">
        <f>Y74-X74</f>
        <v>5</v>
      </c>
      <c r="AA74" s="2">
        <f>(Z74/E74)*60</f>
        <v>0.48627620488437434</v>
      </c>
      <c r="AB74" s="2">
        <v>88</v>
      </c>
      <c r="AC74" s="2">
        <f>(AB74/E74)*60</f>
        <v>8.5584612059649885</v>
      </c>
      <c r="AD74" s="2">
        <v>106</v>
      </c>
      <c r="AE74" s="2">
        <f>(AD74/E74)*60</f>
        <v>10.309055543548736</v>
      </c>
      <c r="AF74" s="2">
        <v>45.6</v>
      </c>
      <c r="AG74" s="2">
        <v>20.9</v>
      </c>
      <c r="AH74" s="2">
        <f>AF74-AG74</f>
        <v>24.700000000000003</v>
      </c>
      <c r="AI74" s="2">
        <v>29</v>
      </c>
      <c r="AJ74" s="2">
        <f>(AI74/E74)*60</f>
        <v>2.8204019883293712</v>
      </c>
      <c r="AK74" s="2">
        <v>23</v>
      </c>
      <c r="AL74" s="2">
        <v>33</v>
      </c>
      <c r="AM74" s="2">
        <f>(AL74/E74)*60</f>
        <v>3.2094229522368707</v>
      </c>
      <c r="AN74" s="2" t="s">
        <v>58</v>
      </c>
      <c r="AO74" s="2">
        <v>267</v>
      </c>
      <c r="AP74" s="2">
        <v>153</v>
      </c>
      <c r="AQ74" s="14">
        <f>(AP74/E74)*60</f>
        <v>14.880051869461855</v>
      </c>
    </row>
    <row r="75" spans="1:43" x14ac:dyDescent="0.35">
      <c r="A75" s="5" t="s">
        <v>259</v>
      </c>
      <c r="B75" s="5" t="s">
        <v>108</v>
      </c>
      <c r="C75" s="2" t="s">
        <v>31</v>
      </c>
      <c r="D75" s="2">
        <v>35</v>
      </c>
      <c r="E75" s="3">
        <v>413.85</v>
      </c>
      <c r="F75" s="2">
        <v>2</v>
      </c>
      <c r="G75" s="14">
        <f>(F75/E75)*60</f>
        <v>0.28996013048205871</v>
      </c>
      <c r="H75" s="2">
        <v>6</v>
      </c>
      <c r="I75" s="14">
        <f>(H75/E75)*60</f>
        <v>0.86988039144617613</v>
      </c>
      <c r="J75" s="2">
        <v>8</v>
      </c>
      <c r="K75" s="2">
        <v>8</v>
      </c>
      <c r="L75" s="2">
        <v>46</v>
      </c>
      <c r="M75" s="2">
        <v>19</v>
      </c>
      <c r="N75" s="2">
        <v>1.61</v>
      </c>
      <c r="O75" s="2">
        <v>3.02</v>
      </c>
      <c r="P75" s="2">
        <f>(O75/E75)*60</f>
        <v>0.43783979702790865</v>
      </c>
      <c r="Q75" s="2">
        <v>2</v>
      </c>
      <c r="R75" s="2">
        <v>0</v>
      </c>
      <c r="S75" s="2">
        <v>2</v>
      </c>
      <c r="T75" s="2">
        <v>0</v>
      </c>
      <c r="U75" s="2">
        <v>5</v>
      </c>
      <c r="V75" s="12">
        <v>13</v>
      </c>
      <c r="W75" s="2">
        <v>18</v>
      </c>
      <c r="X75" s="2">
        <v>3</v>
      </c>
      <c r="Y75" s="2">
        <v>4</v>
      </c>
      <c r="Z75" s="2">
        <f>Y75-X75</f>
        <v>1</v>
      </c>
      <c r="AA75" s="2">
        <f>(Z75/E75)*60</f>
        <v>0.14498006524102935</v>
      </c>
      <c r="AB75" s="2">
        <v>59</v>
      </c>
      <c r="AC75" s="2">
        <f>(AB75/E75)*60</f>
        <v>8.5538238492207324</v>
      </c>
      <c r="AD75" s="2">
        <v>113</v>
      </c>
      <c r="AE75" s="2">
        <f>(AD75/E75)*60</f>
        <v>16.382747372236317</v>
      </c>
      <c r="AF75" s="2">
        <v>12.1</v>
      </c>
      <c r="AG75" s="2">
        <v>26.7</v>
      </c>
      <c r="AH75" s="2">
        <f>AF75-AG75</f>
        <v>-14.6</v>
      </c>
      <c r="AI75" s="2">
        <v>8</v>
      </c>
      <c r="AJ75" s="2">
        <f>(AI75/E75)*60</f>
        <v>1.1598405219282348</v>
      </c>
      <c r="AK75" s="2">
        <v>1</v>
      </c>
      <c r="AL75" s="2">
        <v>3</v>
      </c>
      <c r="AM75" s="2">
        <f>(AL75/E75)*60</f>
        <v>0.43494019572308806</v>
      </c>
      <c r="AN75" s="2" t="s">
        <v>239</v>
      </c>
      <c r="AO75" s="2">
        <v>191</v>
      </c>
      <c r="AP75" s="2">
        <v>95</v>
      </c>
      <c r="AQ75" s="14">
        <f>(AP75/E75)*60</f>
        <v>13.773106197897787</v>
      </c>
    </row>
    <row r="76" spans="1:43" x14ac:dyDescent="0.35">
      <c r="A76" s="5" t="s">
        <v>66</v>
      </c>
      <c r="B76" s="5" t="s">
        <v>53</v>
      </c>
      <c r="C76" s="2" t="s">
        <v>39</v>
      </c>
      <c r="D76" s="2">
        <v>35</v>
      </c>
      <c r="E76" s="3">
        <v>657.5333333333333</v>
      </c>
      <c r="F76" s="2">
        <v>2</v>
      </c>
      <c r="G76" s="14">
        <f>(F76/E76)*60</f>
        <v>0.18250025347257426</v>
      </c>
      <c r="H76" s="2">
        <v>13</v>
      </c>
      <c r="I76" s="14">
        <f>(H76/E76)*60</f>
        <v>1.1862516475717328</v>
      </c>
      <c r="J76" s="2">
        <v>15</v>
      </c>
      <c r="K76" s="2">
        <v>8</v>
      </c>
      <c r="L76" s="2">
        <v>124</v>
      </c>
      <c r="M76" s="2">
        <v>65</v>
      </c>
      <c r="N76" s="2">
        <v>1.61</v>
      </c>
      <c r="O76" s="2">
        <v>5.3</v>
      </c>
      <c r="P76" s="2">
        <f>(O76/E76)*60</f>
        <v>0.48362567170232179</v>
      </c>
      <c r="Q76" s="2">
        <v>0</v>
      </c>
      <c r="R76" s="2">
        <v>0</v>
      </c>
      <c r="S76" s="2">
        <v>0</v>
      </c>
      <c r="T76" s="2">
        <v>0</v>
      </c>
      <c r="U76" s="2">
        <v>17</v>
      </c>
      <c r="V76" s="12">
        <v>33</v>
      </c>
      <c r="W76" s="2">
        <v>16</v>
      </c>
      <c r="X76" s="2">
        <v>0</v>
      </c>
      <c r="Y76" s="2">
        <v>3</v>
      </c>
      <c r="Z76" s="2">
        <f>Y76-X76</f>
        <v>3</v>
      </c>
      <c r="AA76" s="2">
        <f>(Z76/E76)*60</f>
        <v>0.27375038020886139</v>
      </c>
      <c r="AB76" s="2">
        <v>216</v>
      </c>
      <c r="AC76" s="2">
        <f>(AB76/E76)*60</f>
        <v>19.71002737503802</v>
      </c>
      <c r="AD76" s="2">
        <v>97</v>
      </c>
      <c r="AE76" s="2">
        <f>(AD76/E76)*60</f>
        <v>8.8512622934198539</v>
      </c>
      <c r="AF76" s="2">
        <v>44.9</v>
      </c>
      <c r="AG76" s="2">
        <v>22.1</v>
      </c>
      <c r="AH76" s="2">
        <f>AF76-AG76</f>
        <v>22.799999999999997</v>
      </c>
      <c r="AI76" s="2">
        <v>8</v>
      </c>
      <c r="AJ76" s="2">
        <f>(AI76/E76)*60</f>
        <v>0.73000101389029703</v>
      </c>
      <c r="AK76" s="2">
        <v>10</v>
      </c>
      <c r="AL76" s="2">
        <v>31</v>
      </c>
      <c r="AM76" s="2">
        <f>(AL76/E76)*60</f>
        <v>2.8287539288249013</v>
      </c>
      <c r="AN76" s="2" t="s">
        <v>67</v>
      </c>
      <c r="AO76" s="2">
        <v>263</v>
      </c>
      <c r="AP76" s="2">
        <v>143</v>
      </c>
      <c r="AQ76" s="14">
        <f>(AP76/E76)*60</f>
        <v>13.048768123289062</v>
      </c>
    </row>
    <row r="77" spans="1:43" x14ac:dyDescent="0.35">
      <c r="A77" s="5" t="s">
        <v>94</v>
      </c>
      <c r="B77" s="5" t="s">
        <v>46</v>
      </c>
      <c r="C77" s="2" t="s">
        <v>39</v>
      </c>
      <c r="D77" s="2">
        <v>35</v>
      </c>
      <c r="E77" s="3">
        <v>607.41666666666663</v>
      </c>
      <c r="F77" s="2">
        <v>2</v>
      </c>
      <c r="G77" s="14">
        <f>(F77/E77)*60</f>
        <v>0.19755796405542597</v>
      </c>
      <c r="H77" s="2">
        <v>6</v>
      </c>
      <c r="I77" s="14">
        <f>(H77/E77)*60</f>
        <v>0.59267389216627797</v>
      </c>
      <c r="J77" s="2">
        <v>8</v>
      </c>
      <c r="K77" s="2">
        <v>5</v>
      </c>
      <c r="L77" s="2">
        <v>118</v>
      </c>
      <c r="M77" s="2">
        <v>57</v>
      </c>
      <c r="N77" s="2">
        <v>1.35</v>
      </c>
      <c r="O77" s="2">
        <v>4.6500000000000004</v>
      </c>
      <c r="P77" s="2">
        <f>(O77/E77)*60</f>
        <v>0.45932226642886548</v>
      </c>
      <c r="Q77" s="2">
        <v>0</v>
      </c>
      <c r="R77" s="2">
        <v>0</v>
      </c>
      <c r="S77" s="2">
        <v>0</v>
      </c>
      <c r="T77" s="2">
        <v>0</v>
      </c>
      <c r="U77" s="2">
        <v>18</v>
      </c>
      <c r="V77" s="12">
        <v>28</v>
      </c>
      <c r="W77" s="2">
        <v>10</v>
      </c>
      <c r="X77" s="2">
        <v>3</v>
      </c>
      <c r="Y77" s="2">
        <v>3</v>
      </c>
      <c r="Z77" s="2">
        <f>Y77-X77</f>
        <v>0</v>
      </c>
      <c r="AA77" s="2">
        <f>(Z77/E77)*60</f>
        <v>0</v>
      </c>
      <c r="AB77" s="2">
        <v>152</v>
      </c>
      <c r="AC77" s="2">
        <f>(AB77/E77)*60</f>
        <v>15.014405268212375</v>
      </c>
      <c r="AD77" s="2">
        <v>88</v>
      </c>
      <c r="AE77" s="2">
        <f>(AD77/E77)*60</f>
        <v>8.6925504184387439</v>
      </c>
      <c r="AF77" s="2">
        <v>37.9</v>
      </c>
      <c r="AG77" s="2">
        <v>29.8</v>
      </c>
      <c r="AH77" s="2">
        <f>AF77-AG77</f>
        <v>8.0999999999999979</v>
      </c>
      <c r="AI77" s="2">
        <v>5</v>
      </c>
      <c r="AJ77" s="2">
        <f>(AI77/E77)*60</f>
        <v>0.49389491013856496</v>
      </c>
      <c r="AK77" s="2">
        <v>5</v>
      </c>
      <c r="AL77" s="2">
        <v>15</v>
      </c>
      <c r="AM77" s="2">
        <f>(AL77/E77)*60</f>
        <v>1.481684730415695</v>
      </c>
      <c r="AN77" s="2" t="s">
        <v>95</v>
      </c>
      <c r="AO77" s="2">
        <v>236</v>
      </c>
      <c r="AP77" s="2">
        <v>132</v>
      </c>
      <c r="AQ77" s="14">
        <f>(AP77/E77)*60</f>
        <v>13.038825627658115</v>
      </c>
    </row>
    <row r="78" spans="1:43" x14ac:dyDescent="0.35">
      <c r="A78" s="5" t="s">
        <v>343</v>
      </c>
      <c r="B78" s="5" t="s">
        <v>108</v>
      </c>
      <c r="C78" s="2" t="s">
        <v>31</v>
      </c>
      <c r="D78" s="2">
        <v>35</v>
      </c>
      <c r="E78" s="3">
        <v>406.95</v>
      </c>
      <c r="F78" s="2">
        <v>2</v>
      </c>
      <c r="G78" s="14">
        <f>(F78/E78)*60</f>
        <v>0.29487652045705864</v>
      </c>
      <c r="H78" s="2">
        <v>1</v>
      </c>
      <c r="I78" s="14">
        <f>(H78/E78)*60</f>
        <v>0.14743826022852932</v>
      </c>
      <c r="J78" s="2">
        <v>3</v>
      </c>
      <c r="K78" s="2">
        <v>9</v>
      </c>
      <c r="L78" s="2">
        <v>44</v>
      </c>
      <c r="M78" s="2">
        <v>26</v>
      </c>
      <c r="N78" s="2">
        <v>1.62</v>
      </c>
      <c r="O78" s="2">
        <v>3.12</v>
      </c>
      <c r="P78" s="2">
        <f>(O78/E78)*60</f>
        <v>0.46000737191301144</v>
      </c>
      <c r="Q78" s="2">
        <v>9</v>
      </c>
      <c r="R78" s="2">
        <v>4</v>
      </c>
      <c r="S78" s="2">
        <v>5</v>
      </c>
      <c r="T78" s="7">
        <v>0.44400000000000001</v>
      </c>
      <c r="U78" s="2">
        <v>16</v>
      </c>
      <c r="V78" s="12">
        <v>6</v>
      </c>
      <c r="W78" s="2">
        <v>22</v>
      </c>
      <c r="X78" s="2">
        <v>6</v>
      </c>
      <c r="Y78" s="2">
        <v>3</v>
      </c>
      <c r="Z78" s="2">
        <f>Y78-X78</f>
        <v>-3</v>
      </c>
      <c r="AA78" s="2">
        <f>(Z78/E78)*60</f>
        <v>-0.44231478068558794</v>
      </c>
      <c r="AB78" s="2">
        <v>49</v>
      </c>
      <c r="AC78" s="2">
        <f>(AB78/E78)*60</f>
        <v>7.2244747511979366</v>
      </c>
      <c r="AD78" s="2">
        <v>99</v>
      </c>
      <c r="AE78" s="2">
        <f>(AD78/E78)*60</f>
        <v>14.596387762624401</v>
      </c>
      <c r="AF78" s="2">
        <v>12</v>
      </c>
      <c r="AG78" s="2">
        <v>35.299999999999997</v>
      </c>
      <c r="AH78" s="2">
        <f>AF78-AG78</f>
        <v>-23.299999999999997</v>
      </c>
      <c r="AI78" s="2">
        <v>9</v>
      </c>
      <c r="AJ78" s="2">
        <f>(AI78/E78)*60</f>
        <v>1.3269443420567639</v>
      </c>
      <c r="AK78" s="2">
        <v>5</v>
      </c>
      <c r="AL78" s="2">
        <v>8</v>
      </c>
      <c r="AM78" s="2">
        <f>(AL78/E78)*60</f>
        <v>1.1795060818282346</v>
      </c>
      <c r="AN78" s="2" t="s">
        <v>344</v>
      </c>
      <c r="AO78" s="2">
        <v>179</v>
      </c>
      <c r="AP78" s="2">
        <v>80</v>
      </c>
      <c r="AQ78" s="14">
        <f>(AP78/E78)*60</f>
        <v>11.795060818282344</v>
      </c>
    </row>
    <row r="79" spans="1:43" x14ac:dyDescent="0.35">
      <c r="A79" s="5" t="s">
        <v>210</v>
      </c>
      <c r="B79" s="5" t="s">
        <v>53</v>
      </c>
      <c r="C79" s="2" t="s">
        <v>39</v>
      </c>
      <c r="D79" s="2">
        <v>35</v>
      </c>
      <c r="E79" s="3">
        <v>616.9666666666667</v>
      </c>
      <c r="F79" s="2">
        <v>0</v>
      </c>
      <c r="G79" s="14">
        <f>(F79/E79)*60</f>
        <v>0</v>
      </c>
      <c r="H79" s="2">
        <v>2</v>
      </c>
      <c r="I79" s="14">
        <f>(H79/E79)*60</f>
        <v>0.19449997298611485</v>
      </c>
      <c r="J79" s="2">
        <v>2</v>
      </c>
      <c r="K79" s="2">
        <v>3</v>
      </c>
      <c r="L79" s="2">
        <v>114</v>
      </c>
      <c r="M79" s="2">
        <v>47</v>
      </c>
      <c r="N79" s="2">
        <v>0.64</v>
      </c>
      <c r="O79" s="2">
        <v>2.67</v>
      </c>
      <c r="P79" s="2">
        <f>(O79/E79)*60</f>
        <v>0.25965746393646333</v>
      </c>
      <c r="Q79" s="2">
        <v>0</v>
      </c>
      <c r="R79" s="2">
        <v>0</v>
      </c>
      <c r="S79" s="2">
        <v>0</v>
      </c>
      <c r="T79" s="2">
        <v>0</v>
      </c>
      <c r="U79" s="2">
        <v>4</v>
      </c>
      <c r="V79" s="12">
        <v>17</v>
      </c>
      <c r="W79" s="2">
        <v>21</v>
      </c>
      <c r="X79" s="2">
        <v>5</v>
      </c>
      <c r="Y79" s="2">
        <v>3</v>
      </c>
      <c r="Z79" s="2">
        <f>Y79-X79</f>
        <v>-2</v>
      </c>
      <c r="AA79" s="2">
        <f>(Z79/E79)*60</f>
        <v>-0.19449997298611485</v>
      </c>
      <c r="AB79" s="2">
        <v>165</v>
      </c>
      <c r="AC79" s="2">
        <f>(AB79/E79)*60</f>
        <v>16.046247771354476</v>
      </c>
      <c r="AD79" s="2">
        <v>90</v>
      </c>
      <c r="AE79" s="2">
        <f>(AD79/E79)*60</f>
        <v>8.7524987843751685</v>
      </c>
      <c r="AF79" s="2">
        <v>36.4</v>
      </c>
      <c r="AG79" s="2">
        <v>30.7</v>
      </c>
      <c r="AH79" s="2">
        <f>AF79-AG79</f>
        <v>5.6999999999999993</v>
      </c>
      <c r="AI79" s="2">
        <v>3</v>
      </c>
      <c r="AJ79" s="2">
        <f>(AI79/E79)*60</f>
        <v>0.29174995947917232</v>
      </c>
      <c r="AK79" s="2">
        <v>5</v>
      </c>
      <c r="AL79" s="2">
        <v>11</v>
      </c>
      <c r="AM79" s="2">
        <f>(AL79/E79)*60</f>
        <v>1.0697498514236317</v>
      </c>
      <c r="AN79" s="2" t="s">
        <v>211</v>
      </c>
      <c r="AO79" s="2">
        <v>228</v>
      </c>
      <c r="AP79" s="2">
        <v>115</v>
      </c>
      <c r="AQ79" s="14">
        <f>(AP79/E79)*60</f>
        <v>11.183748446701603</v>
      </c>
    </row>
    <row r="80" spans="1:43" x14ac:dyDescent="0.35">
      <c r="A80" s="5" t="s">
        <v>232</v>
      </c>
      <c r="B80" s="5" t="s">
        <v>46</v>
      </c>
      <c r="C80" s="2" t="s">
        <v>39</v>
      </c>
      <c r="D80" s="2">
        <v>35</v>
      </c>
      <c r="E80" s="3">
        <v>479.3</v>
      </c>
      <c r="F80" s="2">
        <v>1</v>
      </c>
      <c r="G80" s="14">
        <f>(F80/E80)*60</f>
        <v>0.12518255789693303</v>
      </c>
      <c r="H80" s="2">
        <v>1</v>
      </c>
      <c r="I80" s="14">
        <f>(H80/E80)*60</f>
        <v>0.12518255789693303</v>
      </c>
      <c r="J80" s="2">
        <v>2</v>
      </c>
      <c r="K80" s="2">
        <v>0</v>
      </c>
      <c r="L80" s="2">
        <v>64</v>
      </c>
      <c r="M80" s="2">
        <v>19</v>
      </c>
      <c r="N80" s="2">
        <v>0.36</v>
      </c>
      <c r="O80" s="2">
        <v>0.88</v>
      </c>
      <c r="P80" s="2">
        <f>(O80/E80)*60</f>
        <v>0.11016065094930107</v>
      </c>
      <c r="Q80" s="2">
        <v>0</v>
      </c>
      <c r="R80" s="2">
        <v>0</v>
      </c>
      <c r="S80" s="2">
        <v>0</v>
      </c>
      <c r="T80" s="2">
        <v>0</v>
      </c>
      <c r="U80" s="2">
        <v>4</v>
      </c>
      <c r="V80" s="12">
        <v>15</v>
      </c>
      <c r="W80" s="2">
        <v>11</v>
      </c>
      <c r="X80" s="2">
        <v>5</v>
      </c>
      <c r="Y80" s="2">
        <v>1</v>
      </c>
      <c r="Z80" s="2">
        <f>Y80-X80</f>
        <v>-4</v>
      </c>
      <c r="AA80" s="2">
        <f>(Z80/E80)*60</f>
        <v>-0.50073023158773211</v>
      </c>
      <c r="AB80" s="2">
        <v>129</v>
      </c>
      <c r="AC80" s="2">
        <f>(AB80/E80)*60</f>
        <v>16.148549968704362</v>
      </c>
      <c r="AD80" s="2">
        <v>52</v>
      </c>
      <c r="AE80" s="2">
        <f>(AD80/E80)*60</f>
        <v>6.5094930106405169</v>
      </c>
      <c r="AF80" s="2">
        <v>23</v>
      </c>
      <c r="AG80" s="2">
        <v>27.6</v>
      </c>
      <c r="AH80" s="2">
        <f>AF80-AG80</f>
        <v>-4.6000000000000014</v>
      </c>
      <c r="AI80" s="2">
        <v>0</v>
      </c>
      <c r="AJ80" s="2">
        <f>(AI80/E80)*60</f>
        <v>0</v>
      </c>
      <c r="AK80" s="2">
        <v>1</v>
      </c>
      <c r="AL80" s="2">
        <v>2</v>
      </c>
      <c r="AM80" s="2">
        <f>(AL80/E80)*60</f>
        <v>0.25036511579386606</v>
      </c>
      <c r="AN80" s="2" t="s">
        <v>233</v>
      </c>
      <c r="AO80" s="2">
        <v>173</v>
      </c>
      <c r="AP80" s="2">
        <v>89</v>
      </c>
      <c r="AQ80" s="14">
        <f>(AP80/E80)*60</f>
        <v>11.141247652827039</v>
      </c>
    </row>
    <row r="81" spans="1:43" x14ac:dyDescent="0.35">
      <c r="A81" s="5" t="s">
        <v>432</v>
      </c>
      <c r="B81" s="5" t="s">
        <v>60</v>
      </c>
      <c r="C81" s="2" t="s">
        <v>39</v>
      </c>
      <c r="D81" s="2">
        <v>34</v>
      </c>
      <c r="E81" s="3">
        <v>230.33333333333334</v>
      </c>
      <c r="F81" s="2">
        <v>0</v>
      </c>
      <c r="G81" s="14">
        <f>(F81/E81)*60</f>
        <v>0</v>
      </c>
      <c r="H81" s="2">
        <v>0</v>
      </c>
      <c r="I81" s="14">
        <f>(H81/E81)*60</f>
        <v>0</v>
      </c>
      <c r="J81" s="2">
        <v>0</v>
      </c>
      <c r="K81" s="2">
        <v>2</v>
      </c>
      <c r="L81" s="2">
        <v>8</v>
      </c>
      <c r="M81" s="2">
        <v>4</v>
      </c>
      <c r="N81" s="2">
        <v>0.54</v>
      </c>
      <c r="O81" s="2">
        <v>0.54</v>
      </c>
      <c r="P81" s="2">
        <f>(O81/E81)*60</f>
        <v>0.1406657018813314</v>
      </c>
      <c r="Q81" s="2">
        <v>91</v>
      </c>
      <c r="R81" s="2">
        <v>30</v>
      </c>
      <c r="S81" s="2">
        <v>61</v>
      </c>
      <c r="T81" s="8">
        <v>0.33</v>
      </c>
      <c r="U81" s="2">
        <v>7</v>
      </c>
      <c r="V81" s="12">
        <v>1</v>
      </c>
      <c r="W81" s="2">
        <v>8</v>
      </c>
      <c r="X81" s="2">
        <v>1</v>
      </c>
      <c r="Y81" s="2">
        <v>0</v>
      </c>
      <c r="Z81" s="2">
        <f>Y81-X81</f>
        <v>-1</v>
      </c>
      <c r="AA81" s="2">
        <f>(Z81/E81)*60</f>
        <v>-0.26049204052098407</v>
      </c>
      <c r="AB81" s="2">
        <v>32</v>
      </c>
      <c r="AC81" s="2">
        <f>(AB81/E81)*60</f>
        <v>8.3357452966714902</v>
      </c>
      <c r="AD81" s="2">
        <v>44</v>
      </c>
      <c r="AE81" s="2">
        <f>(AD81/E81)*60</f>
        <v>11.461649782923299</v>
      </c>
      <c r="AF81" s="2">
        <v>3.92</v>
      </c>
      <c r="AG81" s="2">
        <v>11.6</v>
      </c>
      <c r="AH81" s="2">
        <f>AF81-AG81</f>
        <v>-7.68</v>
      </c>
      <c r="AI81" s="2">
        <v>2</v>
      </c>
      <c r="AJ81" s="2">
        <f>(AI81/E81)*60</f>
        <v>0.52098408104196814</v>
      </c>
      <c r="AK81" s="2">
        <v>0</v>
      </c>
      <c r="AL81" s="2">
        <v>2</v>
      </c>
      <c r="AM81" s="2">
        <f>(AL81/E81)*60</f>
        <v>0.52098408104196814</v>
      </c>
      <c r="AN81" s="2" t="s">
        <v>433</v>
      </c>
      <c r="AO81" s="2">
        <v>165</v>
      </c>
      <c r="AP81" s="2">
        <v>84</v>
      </c>
      <c r="AQ81" s="14">
        <f>(AP81/E81)*60</f>
        <v>21.881331403762662</v>
      </c>
    </row>
    <row r="82" spans="1:43" x14ac:dyDescent="0.35">
      <c r="A82" s="5" t="s">
        <v>236</v>
      </c>
      <c r="B82" s="5" t="s">
        <v>105</v>
      </c>
      <c r="C82" s="2" t="s">
        <v>31</v>
      </c>
      <c r="D82" s="2">
        <v>34</v>
      </c>
      <c r="E82" s="3">
        <v>549.65</v>
      </c>
      <c r="F82" s="2">
        <v>3</v>
      </c>
      <c r="G82" s="14">
        <f>(F82/E82)*60</f>
        <v>0.32748112435186028</v>
      </c>
      <c r="H82" s="2">
        <v>6</v>
      </c>
      <c r="I82" s="14">
        <f>(H82/E82)*60</f>
        <v>0.65496224870372055</v>
      </c>
      <c r="J82" s="2">
        <v>9</v>
      </c>
      <c r="K82" s="2">
        <v>19</v>
      </c>
      <c r="L82" s="2">
        <v>88</v>
      </c>
      <c r="M82" s="2">
        <v>43</v>
      </c>
      <c r="N82" s="2">
        <v>2.73</v>
      </c>
      <c r="O82" s="2">
        <v>7.5</v>
      </c>
      <c r="P82" s="2">
        <f>(O82/E82)*60</f>
        <v>0.8187028108796508</v>
      </c>
      <c r="Q82" s="2">
        <v>2</v>
      </c>
      <c r="R82" s="2">
        <v>0</v>
      </c>
      <c r="S82" s="2">
        <v>2</v>
      </c>
      <c r="T82" s="2">
        <v>0</v>
      </c>
      <c r="U82" s="2">
        <v>9</v>
      </c>
      <c r="V82" s="12">
        <v>15</v>
      </c>
      <c r="W82" s="2">
        <v>24</v>
      </c>
      <c r="X82" s="2">
        <v>1</v>
      </c>
      <c r="Y82" s="2">
        <v>6</v>
      </c>
      <c r="Z82" s="2">
        <f>Y82-X82</f>
        <v>5</v>
      </c>
      <c r="AA82" s="2">
        <f>(Z82/E82)*60</f>
        <v>0.54580187391976709</v>
      </c>
      <c r="AB82" s="2">
        <v>98</v>
      </c>
      <c r="AC82" s="2">
        <f>(AB82/E82)*60</f>
        <v>10.697716728827436</v>
      </c>
      <c r="AD82" s="2">
        <v>141</v>
      </c>
      <c r="AE82" s="2">
        <f>(AD82/E82)*60</f>
        <v>15.391612844537434</v>
      </c>
      <c r="AF82" s="2">
        <v>26.9</v>
      </c>
      <c r="AG82" s="2">
        <v>32.299999999999997</v>
      </c>
      <c r="AH82" s="2">
        <f>AF82-AG82</f>
        <v>-5.3999999999999986</v>
      </c>
      <c r="AI82" s="2">
        <v>19</v>
      </c>
      <c r="AJ82" s="2">
        <f>(AI82/E82)*60</f>
        <v>2.074047120895115</v>
      </c>
      <c r="AK82" s="2">
        <v>19</v>
      </c>
      <c r="AL82" s="2">
        <v>17</v>
      </c>
      <c r="AM82" s="2">
        <f>(AL82/E82)*60</f>
        <v>1.8557263713272083</v>
      </c>
      <c r="AN82" s="2" t="s">
        <v>237</v>
      </c>
      <c r="AO82" s="2">
        <v>434</v>
      </c>
      <c r="AP82" s="2">
        <v>196</v>
      </c>
      <c r="AQ82" s="14">
        <f>(AP82/E82)*60</f>
        <v>21.395433457654871</v>
      </c>
    </row>
    <row r="83" spans="1:43" x14ac:dyDescent="0.35">
      <c r="A83" s="5" t="s">
        <v>110</v>
      </c>
      <c r="B83" s="5" t="s">
        <v>34</v>
      </c>
      <c r="C83" s="2" t="s">
        <v>31</v>
      </c>
      <c r="D83" s="2">
        <v>34</v>
      </c>
      <c r="E83" s="3">
        <v>594.2166666666667</v>
      </c>
      <c r="F83" s="2">
        <v>3</v>
      </c>
      <c r="G83" s="14">
        <f>(F83/E83)*60</f>
        <v>0.30291981039463717</v>
      </c>
      <c r="H83" s="2">
        <v>14</v>
      </c>
      <c r="I83" s="14">
        <f>(H83/E83)*60</f>
        <v>1.4136257818416402</v>
      </c>
      <c r="J83" s="2">
        <v>17</v>
      </c>
      <c r="K83" s="2">
        <v>26</v>
      </c>
      <c r="L83" s="2">
        <v>124</v>
      </c>
      <c r="M83" s="2">
        <v>70</v>
      </c>
      <c r="N83" s="2">
        <v>1.9</v>
      </c>
      <c r="O83" s="2">
        <v>8.4</v>
      </c>
      <c r="P83" s="2">
        <f>(O83/E83)*60</f>
        <v>0.84817546910498409</v>
      </c>
      <c r="Q83" s="2">
        <v>407</v>
      </c>
      <c r="R83" s="2">
        <v>205</v>
      </c>
      <c r="S83" s="2">
        <v>202</v>
      </c>
      <c r="T83" s="7">
        <v>0.504</v>
      </c>
      <c r="U83" s="2">
        <v>8</v>
      </c>
      <c r="V83" s="12">
        <v>26</v>
      </c>
      <c r="W83" s="2">
        <v>18</v>
      </c>
      <c r="X83" s="2">
        <v>8</v>
      </c>
      <c r="Y83" s="2">
        <v>12</v>
      </c>
      <c r="Z83" s="2">
        <f>Y83-X83</f>
        <v>4</v>
      </c>
      <c r="AA83" s="2">
        <f>(Z83/E83)*60</f>
        <v>0.40389308052618295</v>
      </c>
      <c r="AB83" s="2">
        <v>159</v>
      </c>
      <c r="AC83" s="2">
        <f>(AB83/E83)*60</f>
        <v>16.05474995091577</v>
      </c>
      <c r="AD83" s="2">
        <v>144</v>
      </c>
      <c r="AE83" s="2">
        <f>(AD83/E83)*60</f>
        <v>14.540150898942585</v>
      </c>
      <c r="AF83" s="2">
        <v>28.6</v>
      </c>
      <c r="AG83" s="2">
        <v>27.9</v>
      </c>
      <c r="AH83" s="2">
        <f>AF83-AG83</f>
        <v>0.70000000000000284</v>
      </c>
      <c r="AI83" s="2">
        <v>26</v>
      </c>
      <c r="AJ83" s="2">
        <f>(AI83/E83)*60</f>
        <v>2.6253050234201889</v>
      </c>
      <c r="AK83" s="2">
        <v>13</v>
      </c>
      <c r="AL83" s="2">
        <v>22</v>
      </c>
      <c r="AM83" s="2">
        <f>(AL83/E83)*60</f>
        <v>2.2214119428940062</v>
      </c>
      <c r="AN83" s="2" t="s">
        <v>111</v>
      </c>
      <c r="AO83" s="2">
        <v>404</v>
      </c>
      <c r="AP83" s="2">
        <v>207</v>
      </c>
      <c r="AQ83" s="14">
        <f>(AP83/E83)*60</f>
        <v>20.901466917229968</v>
      </c>
    </row>
    <row r="84" spans="1:43" x14ac:dyDescent="0.35">
      <c r="A84" s="5" t="s">
        <v>124</v>
      </c>
      <c r="B84" s="5" t="s">
        <v>108</v>
      </c>
      <c r="C84" s="2" t="s">
        <v>39</v>
      </c>
      <c r="D84" s="2">
        <v>34</v>
      </c>
      <c r="E84" s="3">
        <v>644.45000000000005</v>
      </c>
      <c r="F84" s="2">
        <v>3</v>
      </c>
      <c r="G84" s="14">
        <f>(F84/E84)*60</f>
        <v>0.27930793700054307</v>
      </c>
      <c r="H84" s="2">
        <v>6</v>
      </c>
      <c r="I84" s="14">
        <f>(H84/E84)*60</f>
        <v>0.55861587400108614</v>
      </c>
      <c r="J84" s="2">
        <v>9</v>
      </c>
      <c r="K84" s="2">
        <v>17</v>
      </c>
      <c r="L84" s="2">
        <v>95</v>
      </c>
      <c r="M84" s="2">
        <v>54</v>
      </c>
      <c r="N84" s="2">
        <v>1.59</v>
      </c>
      <c r="O84" s="2">
        <v>5.2</v>
      </c>
      <c r="P84" s="2">
        <f>(O84/E84)*60</f>
        <v>0.48413375746760806</v>
      </c>
      <c r="Q84" s="2">
        <v>0</v>
      </c>
      <c r="R84" s="2">
        <v>0</v>
      </c>
      <c r="S84" s="2">
        <v>0</v>
      </c>
      <c r="T84" s="2">
        <v>0</v>
      </c>
      <c r="U84" s="2">
        <v>2</v>
      </c>
      <c r="V84" s="12">
        <v>24</v>
      </c>
      <c r="W84" s="2">
        <v>22</v>
      </c>
      <c r="X84" s="2">
        <v>13</v>
      </c>
      <c r="Y84" s="2">
        <v>7</v>
      </c>
      <c r="Z84" s="2">
        <f>Y84-X84</f>
        <v>-6</v>
      </c>
      <c r="AA84" s="2">
        <f>(Z84/E84)*60</f>
        <v>-0.55861587400108614</v>
      </c>
      <c r="AB84" s="2">
        <v>216</v>
      </c>
      <c r="AC84" s="2">
        <f>(AB84/E84)*60</f>
        <v>20.110171464039102</v>
      </c>
      <c r="AD84" s="2">
        <v>143</v>
      </c>
      <c r="AE84" s="2">
        <f>(AD84/E84)*60</f>
        <v>13.31367833035922</v>
      </c>
      <c r="AF84" s="2">
        <v>26.9</v>
      </c>
      <c r="AG84" s="2">
        <v>42.4</v>
      </c>
      <c r="AH84" s="2">
        <f>AF84-AG84</f>
        <v>-15.5</v>
      </c>
      <c r="AI84" s="2">
        <v>17</v>
      </c>
      <c r="AJ84" s="2">
        <f>(AI84/E84)*60</f>
        <v>1.5827449763364108</v>
      </c>
      <c r="AK84" s="2">
        <v>8</v>
      </c>
      <c r="AL84" s="2">
        <v>23</v>
      </c>
      <c r="AM84" s="2">
        <f>(AL84/E84)*60</f>
        <v>2.141360850337497</v>
      </c>
      <c r="AN84" s="2" t="s">
        <v>125</v>
      </c>
      <c r="AO84" s="2">
        <v>386</v>
      </c>
      <c r="AP84" s="2">
        <v>214</v>
      </c>
      <c r="AQ84" s="14">
        <f>(AP84/E84)*60</f>
        <v>19.923966172705406</v>
      </c>
    </row>
    <row r="85" spans="1:43" x14ac:dyDescent="0.35">
      <c r="A85" s="5" t="s">
        <v>75</v>
      </c>
      <c r="B85" s="5" t="s">
        <v>53</v>
      </c>
      <c r="C85" s="2" t="s">
        <v>31</v>
      </c>
      <c r="D85" s="2">
        <v>34</v>
      </c>
      <c r="E85" s="3">
        <v>639.61666666666667</v>
      </c>
      <c r="F85" s="2">
        <v>14</v>
      </c>
      <c r="G85" s="14">
        <f>(F85/E85)*60</f>
        <v>1.3132866039554942</v>
      </c>
      <c r="H85" s="2">
        <v>11</v>
      </c>
      <c r="I85" s="14">
        <f>(H85/E85)*60</f>
        <v>1.0318680459650311</v>
      </c>
      <c r="J85" s="2">
        <v>25</v>
      </c>
      <c r="K85" s="2">
        <v>50</v>
      </c>
      <c r="L85" s="2">
        <v>160</v>
      </c>
      <c r="M85" s="2">
        <v>96</v>
      </c>
      <c r="N85" s="2">
        <v>3.19</v>
      </c>
      <c r="O85" s="2">
        <v>16.2</v>
      </c>
      <c r="P85" s="2">
        <f>(O85/E85)*60</f>
        <v>1.5196602131485004</v>
      </c>
      <c r="Q85" s="2">
        <v>2</v>
      </c>
      <c r="R85" s="2">
        <v>1</v>
      </c>
      <c r="S85" s="2">
        <v>1</v>
      </c>
      <c r="T85" s="8">
        <v>0.5</v>
      </c>
      <c r="U85" s="2">
        <v>7</v>
      </c>
      <c r="V85" s="12">
        <v>31</v>
      </c>
      <c r="W85" s="2">
        <v>24</v>
      </c>
      <c r="X85" s="2">
        <v>7</v>
      </c>
      <c r="Y85" s="2">
        <v>9</v>
      </c>
      <c r="Z85" s="2">
        <f>Y85-X85</f>
        <v>2</v>
      </c>
      <c r="AA85" s="2">
        <f>(Z85/E85)*60</f>
        <v>0.18761237199364203</v>
      </c>
      <c r="AB85" s="2">
        <v>99</v>
      </c>
      <c r="AC85" s="2">
        <f>(AB85/E85)*60</f>
        <v>9.2868124136852792</v>
      </c>
      <c r="AD85" s="2">
        <v>131</v>
      </c>
      <c r="AE85" s="2">
        <f>(AD85/E85)*60</f>
        <v>12.288610365583553</v>
      </c>
      <c r="AF85" s="2">
        <v>47.4</v>
      </c>
      <c r="AG85" s="2">
        <v>28.8</v>
      </c>
      <c r="AH85" s="2">
        <f>AF85-AG85</f>
        <v>18.599999999999998</v>
      </c>
      <c r="AI85" s="2">
        <v>50</v>
      </c>
      <c r="AJ85" s="2">
        <f>(AI85/E85)*60</f>
        <v>4.6903092998410507</v>
      </c>
      <c r="AK85" s="2">
        <v>19</v>
      </c>
      <c r="AL85" s="2">
        <v>35</v>
      </c>
      <c r="AM85" s="2">
        <f>(AL85/E85)*60</f>
        <v>3.2832165098887356</v>
      </c>
      <c r="AN85" s="2" t="s">
        <v>76</v>
      </c>
      <c r="AO85" s="2">
        <v>398</v>
      </c>
      <c r="AP85" s="2">
        <v>207</v>
      </c>
      <c r="AQ85" s="14">
        <f>(AP85/E85)*60</f>
        <v>19.417880501341951</v>
      </c>
    </row>
    <row r="86" spans="1:43" x14ac:dyDescent="0.35">
      <c r="A86" s="5" t="s">
        <v>242</v>
      </c>
      <c r="B86" s="5" t="s">
        <v>71</v>
      </c>
      <c r="C86" s="2" t="s">
        <v>31</v>
      </c>
      <c r="D86" s="2">
        <v>34</v>
      </c>
      <c r="E86" s="3">
        <v>538.18333333333328</v>
      </c>
      <c r="F86" s="2">
        <v>5</v>
      </c>
      <c r="G86" s="14">
        <f>(F86/E86)*60</f>
        <v>0.55743086308878642</v>
      </c>
      <c r="H86" s="2">
        <v>2</v>
      </c>
      <c r="I86" s="14">
        <f>(H86/E86)*60</f>
        <v>0.22297234523551457</v>
      </c>
      <c r="J86" s="2">
        <v>7</v>
      </c>
      <c r="K86" s="2">
        <v>30</v>
      </c>
      <c r="L86" s="2">
        <v>72</v>
      </c>
      <c r="M86" s="2">
        <v>40</v>
      </c>
      <c r="N86" s="2">
        <v>3.11</v>
      </c>
      <c r="O86" s="2">
        <v>8.6</v>
      </c>
      <c r="P86" s="2">
        <f>(O86/E86)*60</f>
        <v>0.95878108451271249</v>
      </c>
      <c r="Q86" s="2">
        <v>1</v>
      </c>
      <c r="R86" s="2">
        <v>1</v>
      </c>
      <c r="S86" s="2">
        <v>0</v>
      </c>
      <c r="T86" s="8">
        <v>1</v>
      </c>
      <c r="U86" s="2">
        <v>3</v>
      </c>
      <c r="V86" s="12">
        <v>14</v>
      </c>
      <c r="W86" s="2">
        <v>17</v>
      </c>
      <c r="X86" s="2">
        <v>3</v>
      </c>
      <c r="Y86" s="2">
        <v>3</v>
      </c>
      <c r="Z86" s="2">
        <f>Y86-X86</f>
        <v>0</v>
      </c>
      <c r="AA86" s="2">
        <f>(Z86/E86)*60</f>
        <v>0</v>
      </c>
      <c r="AB86" s="2">
        <v>91</v>
      </c>
      <c r="AC86" s="2">
        <f>(AB86/E86)*60</f>
        <v>10.145241708215913</v>
      </c>
      <c r="AD86" s="2">
        <v>151</v>
      </c>
      <c r="AE86" s="2">
        <f>(AD86/E86)*60</f>
        <v>16.834412065281349</v>
      </c>
      <c r="AF86" s="2">
        <v>25.3</v>
      </c>
      <c r="AG86" s="2">
        <v>25.7</v>
      </c>
      <c r="AH86" s="2">
        <f>AF86-AG86</f>
        <v>-0.39999999999999858</v>
      </c>
      <c r="AI86" s="2">
        <v>30</v>
      </c>
      <c r="AJ86" s="2">
        <f>(AI86/E86)*60</f>
        <v>3.3445851785327187</v>
      </c>
      <c r="AK86" s="2">
        <v>6</v>
      </c>
      <c r="AL86" s="2">
        <v>9</v>
      </c>
      <c r="AM86" s="2">
        <f>(AL86/E86)*60</f>
        <v>1.0033755535598154</v>
      </c>
      <c r="AN86" s="2" t="s">
        <v>243</v>
      </c>
      <c r="AO86" s="2">
        <v>340</v>
      </c>
      <c r="AP86" s="2">
        <v>167</v>
      </c>
      <c r="AQ86" s="14">
        <f>(AP86/E86)*60</f>
        <v>18.618190827165467</v>
      </c>
    </row>
    <row r="87" spans="1:43" x14ac:dyDescent="0.35">
      <c r="A87" s="5" t="s">
        <v>38</v>
      </c>
      <c r="B87" s="5" t="s">
        <v>30</v>
      </c>
      <c r="C87" s="2" t="s">
        <v>39</v>
      </c>
      <c r="D87" s="2">
        <v>34</v>
      </c>
      <c r="E87" s="3">
        <v>657.91666666666663</v>
      </c>
      <c r="F87" s="2">
        <v>7</v>
      </c>
      <c r="G87" s="14">
        <f>(F87/E87)*60</f>
        <v>0.63837872070930979</v>
      </c>
      <c r="H87" s="2">
        <v>11</v>
      </c>
      <c r="I87" s="14">
        <f>(H87/E87)*60</f>
        <v>1.0031665611146294</v>
      </c>
      <c r="J87" s="2">
        <v>18</v>
      </c>
      <c r="K87" s="2">
        <v>11</v>
      </c>
      <c r="L87" s="2">
        <v>159</v>
      </c>
      <c r="M87" s="2">
        <v>79</v>
      </c>
      <c r="N87" s="2">
        <v>1.05</v>
      </c>
      <c r="O87" s="2">
        <v>5.5</v>
      </c>
      <c r="P87" s="2">
        <f>(O87/E87)*60</f>
        <v>0.50158328055731471</v>
      </c>
      <c r="Q87" s="2">
        <v>0</v>
      </c>
      <c r="R87" s="2">
        <v>0</v>
      </c>
      <c r="S87" s="2">
        <v>0</v>
      </c>
      <c r="T87" s="2">
        <v>0</v>
      </c>
      <c r="U87" s="2">
        <v>28</v>
      </c>
      <c r="V87" s="12">
        <v>42</v>
      </c>
      <c r="W87" s="2">
        <v>14</v>
      </c>
      <c r="X87" s="2">
        <v>6</v>
      </c>
      <c r="Y87" s="2">
        <v>7</v>
      </c>
      <c r="Z87" s="2">
        <f>Y87-X87</f>
        <v>1</v>
      </c>
      <c r="AA87" s="2">
        <f>(Z87/E87)*60</f>
        <v>9.1196960101329966E-2</v>
      </c>
      <c r="AB87" s="2">
        <v>176</v>
      </c>
      <c r="AC87" s="2">
        <f>(AB87/E87)*60</f>
        <v>16.050664977834071</v>
      </c>
      <c r="AD87" s="2">
        <v>119</v>
      </c>
      <c r="AE87" s="2">
        <f>(AD87/E87)*60</f>
        <v>10.852438252058265</v>
      </c>
      <c r="AF87" s="2">
        <v>42.2</v>
      </c>
      <c r="AG87" s="2">
        <v>21.9</v>
      </c>
      <c r="AH87" s="2">
        <f>AF87-AG87</f>
        <v>20.300000000000004</v>
      </c>
      <c r="AI87" s="2">
        <v>11</v>
      </c>
      <c r="AJ87" s="2">
        <f>(AI87/E87)*60</f>
        <v>1.0031665611146294</v>
      </c>
      <c r="AK87" s="2">
        <v>6</v>
      </c>
      <c r="AL87" s="2">
        <v>9</v>
      </c>
      <c r="AM87" s="2">
        <f>(AL87/E87)*60</f>
        <v>0.82077264091196966</v>
      </c>
      <c r="AN87" s="2" t="s">
        <v>40</v>
      </c>
      <c r="AO87" s="2">
        <v>344</v>
      </c>
      <c r="AP87" s="2">
        <v>203</v>
      </c>
      <c r="AQ87" s="14">
        <f>(AP87/E87)*60</f>
        <v>18.51298290056998</v>
      </c>
    </row>
    <row r="88" spans="1:43" x14ac:dyDescent="0.35">
      <c r="A88" s="5" t="s">
        <v>86</v>
      </c>
      <c r="B88" s="5" t="s">
        <v>34</v>
      </c>
      <c r="C88" s="2" t="s">
        <v>31</v>
      </c>
      <c r="D88" s="2">
        <v>34</v>
      </c>
      <c r="E88" s="3">
        <v>628.54999999999995</v>
      </c>
      <c r="F88" s="2">
        <v>13</v>
      </c>
      <c r="G88" s="14">
        <f>(F88/E88)*60</f>
        <v>1.2409513960703205</v>
      </c>
      <c r="H88" s="2">
        <v>8</v>
      </c>
      <c r="I88" s="14">
        <f>(H88/E88)*60</f>
        <v>0.76366239758173571</v>
      </c>
      <c r="J88" s="2">
        <v>21</v>
      </c>
      <c r="K88" s="2">
        <v>34</v>
      </c>
      <c r="L88" s="2">
        <v>142</v>
      </c>
      <c r="M88" s="2">
        <v>84</v>
      </c>
      <c r="N88" s="2">
        <v>2.5499999999999998</v>
      </c>
      <c r="O88" s="2">
        <v>11.3</v>
      </c>
      <c r="P88" s="2">
        <f>(O88/E88)*60</f>
        <v>1.0786731365842019</v>
      </c>
      <c r="Q88" s="2">
        <v>58</v>
      </c>
      <c r="R88" s="2">
        <v>32</v>
      </c>
      <c r="S88" s="2">
        <v>26</v>
      </c>
      <c r="T88" s="7">
        <v>0.55200000000000005</v>
      </c>
      <c r="U88" s="2">
        <v>12</v>
      </c>
      <c r="V88" s="12">
        <v>29</v>
      </c>
      <c r="W88" s="2">
        <v>17</v>
      </c>
      <c r="X88" s="2">
        <v>3</v>
      </c>
      <c r="Y88" s="2">
        <v>14</v>
      </c>
      <c r="Z88" s="2">
        <f>Y88-X88</f>
        <v>11</v>
      </c>
      <c r="AA88" s="2">
        <f>(Z88/E88)*60</f>
        <v>1.0500357966748868</v>
      </c>
      <c r="AB88" s="2">
        <v>86</v>
      </c>
      <c r="AC88" s="2">
        <f>(AB88/E88)*60</f>
        <v>8.2093707740036592</v>
      </c>
      <c r="AD88" s="2">
        <v>140</v>
      </c>
      <c r="AE88" s="2">
        <f>(AD88/E88)*60</f>
        <v>13.364091957680376</v>
      </c>
      <c r="AF88" s="2">
        <v>32.5</v>
      </c>
      <c r="AG88" s="2">
        <v>28.8</v>
      </c>
      <c r="AH88" s="2">
        <f>AF88-AG88</f>
        <v>3.6999999999999993</v>
      </c>
      <c r="AI88" s="2">
        <v>34</v>
      </c>
      <c r="AJ88" s="2">
        <f>(AI88/E88)*60</f>
        <v>3.245565189722377</v>
      </c>
      <c r="AK88" s="2">
        <v>11</v>
      </c>
      <c r="AL88" s="2">
        <v>8</v>
      </c>
      <c r="AM88" s="2">
        <f>(AL88/E88)*60</f>
        <v>0.76366239758173571</v>
      </c>
      <c r="AN88" s="2" t="s">
        <v>87</v>
      </c>
      <c r="AO88" s="2">
        <v>410</v>
      </c>
      <c r="AP88" s="2">
        <v>190</v>
      </c>
      <c r="AQ88" s="14">
        <f>(AP88/E88)*60</f>
        <v>18.136981942566226</v>
      </c>
    </row>
    <row r="89" spans="1:43" x14ac:dyDescent="0.35">
      <c r="A89" s="5" t="s">
        <v>339</v>
      </c>
      <c r="B89" s="5" t="s">
        <v>78</v>
      </c>
      <c r="C89" s="2" t="s">
        <v>31</v>
      </c>
      <c r="D89" s="2">
        <v>34</v>
      </c>
      <c r="E89" s="3">
        <v>410.06666666666666</v>
      </c>
      <c r="F89" s="2">
        <v>1</v>
      </c>
      <c r="G89" s="14">
        <f>(F89/E89)*60</f>
        <v>0.14631767192326453</v>
      </c>
      <c r="H89" s="2">
        <v>2</v>
      </c>
      <c r="I89" s="14">
        <f>(H89/E89)*60</f>
        <v>0.29263534384652906</v>
      </c>
      <c r="J89" s="2">
        <v>3</v>
      </c>
      <c r="K89" s="2">
        <v>18</v>
      </c>
      <c r="L89" s="2">
        <v>68</v>
      </c>
      <c r="M89" s="2">
        <v>41</v>
      </c>
      <c r="N89" s="2">
        <v>2.46</v>
      </c>
      <c r="O89" s="2">
        <v>5.7</v>
      </c>
      <c r="P89" s="2">
        <f>(O89/E89)*60</f>
        <v>0.83401072996260772</v>
      </c>
      <c r="Q89" s="2">
        <v>153</v>
      </c>
      <c r="R89" s="2">
        <v>69</v>
      </c>
      <c r="S89" s="2">
        <v>84</v>
      </c>
      <c r="T89" s="7">
        <v>0.45100000000000001</v>
      </c>
      <c r="U89" s="2">
        <v>13</v>
      </c>
      <c r="V89" s="12">
        <v>6</v>
      </c>
      <c r="W89" s="2">
        <v>19</v>
      </c>
      <c r="X89" s="2">
        <v>2</v>
      </c>
      <c r="Y89" s="2">
        <v>5</v>
      </c>
      <c r="Z89" s="2">
        <f>Y89-X89</f>
        <v>3</v>
      </c>
      <c r="AA89" s="2">
        <f>(Z89/E89)*60</f>
        <v>0.43895301576979351</v>
      </c>
      <c r="AB89" s="2">
        <v>56</v>
      </c>
      <c r="AC89" s="2">
        <f>(AB89/E89)*60</f>
        <v>8.193789627702813</v>
      </c>
      <c r="AD89" s="2">
        <v>110</v>
      </c>
      <c r="AE89" s="2">
        <f>(AD89/E89)*60</f>
        <v>16.094943911559099</v>
      </c>
      <c r="AF89" s="2">
        <v>13</v>
      </c>
      <c r="AG89" s="2">
        <v>28</v>
      </c>
      <c r="AH89" s="2">
        <f>AF89-AG89</f>
        <v>-15</v>
      </c>
      <c r="AI89" s="2">
        <v>18</v>
      </c>
      <c r="AJ89" s="2">
        <f>(AI89/E89)*60</f>
        <v>2.6337180946187608</v>
      </c>
      <c r="AK89" s="2">
        <v>1</v>
      </c>
      <c r="AL89" s="2">
        <v>8</v>
      </c>
      <c r="AM89" s="2">
        <f>(AL89/E89)*60</f>
        <v>1.1705413753861162</v>
      </c>
      <c r="AN89" s="2" t="s">
        <v>340</v>
      </c>
      <c r="AO89" s="2">
        <v>290</v>
      </c>
      <c r="AP89" s="2">
        <v>123</v>
      </c>
      <c r="AQ89" s="14">
        <f>(AP89/E89)*60</f>
        <v>17.997073646561535</v>
      </c>
    </row>
    <row r="90" spans="1:43" x14ac:dyDescent="0.35">
      <c r="A90" s="5" t="s">
        <v>223</v>
      </c>
      <c r="B90" s="5" t="s">
        <v>122</v>
      </c>
      <c r="C90" s="2" t="s">
        <v>39</v>
      </c>
      <c r="D90" s="2">
        <v>34</v>
      </c>
      <c r="E90" s="3">
        <v>638.63333333333333</v>
      </c>
      <c r="F90" s="2">
        <v>5</v>
      </c>
      <c r="G90" s="14">
        <f>(F90/E90)*60</f>
        <v>0.46975311863875985</v>
      </c>
      <c r="H90" s="2">
        <v>6</v>
      </c>
      <c r="I90" s="14">
        <f>(H90/E90)*60</f>
        <v>0.56370374236651177</v>
      </c>
      <c r="J90" s="2">
        <v>11</v>
      </c>
      <c r="K90" s="2">
        <v>16</v>
      </c>
      <c r="L90" s="2">
        <v>87</v>
      </c>
      <c r="M90" s="2">
        <v>49</v>
      </c>
      <c r="N90" s="2">
        <v>2.52</v>
      </c>
      <c r="O90" s="2">
        <v>6.2</v>
      </c>
      <c r="P90" s="2">
        <f>(O90/E90)*60</f>
        <v>0.5824938671120623</v>
      </c>
      <c r="Q90" s="2">
        <v>6</v>
      </c>
      <c r="R90" s="2">
        <v>1</v>
      </c>
      <c r="S90" s="2">
        <v>5</v>
      </c>
      <c r="T90" s="7">
        <v>0.16700000000000001</v>
      </c>
      <c r="U90" s="2">
        <v>7</v>
      </c>
      <c r="V90" s="12">
        <v>16</v>
      </c>
      <c r="W90" s="2">
        <v>23</v>
      </c>
      <c r="X90" s="2">
        <v>5</v>
      </c>
      <c r="Y90" s="2">
        <v>8</v>
      </c>
      <c r="Z90" s="2">
        <f>Y90-X90</f>
        <v>3</v>
      </c>
      <c r="AA90" s="2">
        <f>(Z90/E90)*60</f>
        <v>0.28185187118325589</v>
      </c>
      <c r="AB90" s="2">
        <v>166</v>
      </c>
      <c r="AC90" s="2">
        <f>(AB90/E90)*60</f>
        <v>15.595803538806827</v>
      </c>
      <c r="AD90" s="2">
        <v>121</v>
      </c>
      <c r="AE90" s="2">
        <f>(AD90/E90)*60</f>
        <v>11.368025471057988</v>
      </c>
      <c r="AF90" s="2">
        <v>32.9</v>
      </c>
      <c r="AG90" s="2">
        <v>38.200000000000003</v>
      </c>
      <c r="AH90" s="2">
        <f>AF90-AG90</f>
        <v>-5.3000000000000043</v>
      </c>
      <c r="AI90" s="2">
        <v>16</v>
      </c>
      <c r="AJ90" s="2">
        <f>(AI90/E90)*60</f>
        <v>1.5032099796440317</v>
      </c>
      <c r="AK90" s="2">
        <v>5</v>
      </c>
      <c r="AL90" s="2">
        <v>13</v>
      </c>
      <c r="AM90" s="2">
        <f>(AL90/E90)*60</f>
        <v>1.2213581084607754</v>
      </c>
      <c r="AN90" s="2" t="s">
        <v>224</v>
      </c>
      <c r="AO90" s="2">
        <v>349</v>
      </c>
      <c r="AP90" s="2">
        <v>185</v>
      </c>
      <c r="AQ90" s="14">
        <f>(AP90/E90)*60</f>
        <v>17.380865389634113</v>
      </c>
    </row>
    <row r="91" spans="1:43" x14ac:dyDescent="0.35">
      <c r="A91" s="5" t="s">
        <v>169</v>
      </c>
      <c r="B91" s="5" t="s">
        <v>71</v>
      </c>
      <c r="C91" s="2" t="s">
        <v>31</v>
      </c>
      <c r="D91" s="2">
        <v>34</v>
      </c>
      <c r="E91" s="3">
        <v>522.01666666666665</v>
      </c>
      <c r="F91" s="2">
        <v>6</v>
      </c>
      <c r="G91" s="14">
        <f>(F91/E91)*60</f>
        <v>0.68963315347530407</v>
      </c>
      <c r="H91" s="2">
        <v>7</v>
      </c>
      <c r="I91" s="14">
        <f>(H91/E91)*60</f>
        <v>0.80457201238785481</v>
      </c>
      <c r="J91" s="2">
        <v>13</v>
      </c>
      <c r="K91" s="2">
        <v>21</v>
      </c>
      <c r="L91" s="2">
        <v>96</v>
      </c>
      <c r="M91" s="2">
        <v>61</v>
      </c>
      <c r="N91" s="2">
        <v>2.99</v>
      </c>
      <c r="O91" s="2">
        <v>9.5</v>
      </c>
      <c r="P91" s="2">
        <f>(O91/E91)*60</f>
        <v>1.0919191596692317</v>
      </c>
      <c r="Q91" s="2">
        <v>2</v>
      </c>
      <c r="R91" s="2">
        <v>2</v>
      </c>
      <c r="S91" s="2">
        <v>0</v>
      </c>
      <c r="T91" s="8">
        <v>1</v>
      </c>
      <c r="U91" s="2">
        <v>3</v>
      </c>
      <c r="V91" s="12">
        <v>20</v>
      </c>
      <c r="W91" s="2">
        <v>17</v>
      </c>
      <c r="X91" s="2">
        <v>3</v>
      </c>
      <c r="Y91" s="2">
        <v>5</v>
      </c>
      <c r="Z91" s="2">
        <f>Y91-X91</f>
        <v>2</v>
      </c>
      <c r="AA91" s="2">
        <f>(Z91/E91)*60</f>
        <v>0.22987771782510139</v>
      </c>
      <c r="AB91" s="2">
        <v>87</v>
      </c>
      <c r="AC91" s="2">
        <f>(AB91/E91)*60</f>
        <v>9.9996807253919098</v>
      </c>
      <c r="AD91" s="2">
        <v>125</v>
      </c>
      <c r="AE91" s="2">
        <f>(AD91/E91)*60</f>
        <v>14.367357364068837</v>
      </c>
      <c r="AF91" s="2">
        <v>27</v>
      </c>
      <c r="AG91" s="2">
        <v>30.6</v>
      </c>
      <c r="AH91" s="2">
        <f>AF91-AG91</f>
        <v>-3.6000000000000014</v>
      </c>
      <c r="AI91" s="2">
        <v>21</v>
      </c>
      <c r="AJ91" s="2">
        <f>(AI91/E91)*60</f>
        <v>2.4137160371635646</v>
      </c>
      <c r="AK91" s="2">
        <v>8</v>
      </c>
      <c r="AL91" s="2">
        <v>19</v>
      </c>
      <c r="AM91" s="2">
        <f>(AL91/E91)*60</f>
        <v>2.1838383193384634</v>
      </c>
      <c r="AN91" s="2" t="s">
        <v>170</v>
      </c>
      <c r="AO91" s="2">
        <v>301</v>
      </c>
      <c r="AP91" s="2">
        <v>150</v>
      </c>
      <c r="AQ91" s="14">
        <f>(AP91/E91)*60</f>
        <v>17.240828836882603</v>
      </c>
    </row>
    <row r="92" spans="1:43" x14ac:dyDescent="0.35">
      <c r="A92" s="5" t="s">
        <v>230</v>
      </c>
      <c r="B92" s="5" t="s">
        <v>53</v>
      </c>
      <c r="C92" s="2" t="s">
        <v>31</v>
      </c>
      <c r="D92" s="2">
        <v>34</v>
      </c>
      <c r="E92" s="3">
        <v>501.61666666666667</v>
      </c>
      <c r="F92" s="2">
        <v>5</v>
      </c>
      <c r="G92" s="14">
        <f>(F92/E92)*60</f>
        <v>0.59806625245041034</v>
      </c>
      <c r="H92" s="2">
        <v>6</v>
      </c>
      <c r="I92" s="14">
        <f>(H92/E92)*60</f>
        <v>0.71767950294049243</v>
      </c>
      <c r="J92" s="2">
        <v>11</v>
      </c>
      <c r="K92" s="2">
        <v>11</v>
      </c>
      <c r="L92" s="2">
        <v>90</v>
      </c>
      <c r="M92" s="2">
        <v>46</v>
      </c>
      <c r="N92" s="2">
        <v>2.09</v>
      </c>
      <c r="O92" s="2">
        <v>5.6</v>
      </c>
      <c r="P92" s="2">
        <f>(O92/E92)*60</f>
        <v>0.66983420274445948</v>
      </c>
      <c r="Q92" s="2">
        <v>1</v>
      </c>
      <c r="R92" s="2">
        <v>1</v>
      </c>
      <c r="S92" s="2">
        <v>0</v>
      </c>
      <c r="T92" s="8">
        <v>1</v>
      </c>
      <c r="U92" s="2">
        <v>5</v>
      </c>
      <c r="V92" s="12">
        <v>16</v>
      </c>
      <c r="W92" s="2">
        <v>11</v>
      </c>
      <c r="X92" s="2">
        <v>4</v>
      </c>
      <c r="Y92" s="2">
        <v>4</v>
      </c>
      <c r="Z92" s="2">
        <f>Y92-X92</f>
        <v>0</v>
      </c>
      <c r="AA92" s="2">
        <f>(Z92/E92)*60</f>
        <v>0</v>
      </c>
      <c r="AB92" s="2">
        <v>60</v>
      </c>
      <c r="AC92" s="2">
        <f>(AB92/E92)*60</f>
        <v>7.1767950294049241</v>
      </c>
      <c r="AD92" s="2">
        <v>118</v>
      </c>
      <c r="AE92" s="2">
        <f>(AD92/E92)*60</f>
        <v>14.114363557829684</v>
      </c>
      <c r="AF92" s="2">
        <v>25.2</v>
      </c>
      <c r="AG92" s="2">
        <v>20.5</v>
      </c>
      <c r="AH92" s="2">
        <f>AF92-AG92</f>
        <v>4.6999999999999993</v>
      </c>
      <c r="AI92" s="2">
        <v>11</v>
      </c>
      <c r="AJ92" s="2">
        <f>(AI92/E92)*60</f>
        <v>1.3157457553909027</v>
      </c>
      <c r="AK92" s="2">
        <v>6</v>
      </c>
      <c r="AL92" s="2">
        <v>11</v>
      </c>
      <c r="AM92" s="2">
        <f>(AL92/E92)*60</f>
        <v>1.3157457553909027</v>
      </c>
      <c r="AN92" s="2" t="s">
        <v>231</v>
      </c>
      <c r="AO92" s="2">
        <v>297</v>
      </c>
      <c r="AP92" s="2">
        <v>142</v>
      </c>
      <c r="AQ92" s="14">
        <f>(AP92/E92)*60</f>
        <v>16.985081569591653</v>
      </c>
    </row>
    <row r="93" spans="1:43" x14ac:dyDescent="0.35">
      <c r="A93" s="5" t="s">
        <v>183</v>
      </c>
      <c r="B93" s="5" t="s">
        <v>46</v>
      </c>
      <c r="C93" s="2" t="s">
        <v>31</v>
      </c>
      <c r="D93" s="2">
        <v>34</v>
      </c>
      <c r="E93" s="3">
        <v>543.20000000000005</v>
      </c>
      <c r="F93" s="2">
        <v>6</v>
      </c>
      <c r="G93" s="14">
        <f>(F93/E93)*60</f>
        <v>0.66273932253313694</v>
      </c>
      <c r="H93" s="2">
        <v>9</v>
      </c>
      <c r="I93" s="14">
        <f>(H93/E93)*60</f>
        <v>0.99410898379970547</v>
      </c>
      <c r="J93" s="2">
        <v>15</v>
      </c>
      <c r="K93" s="2">
        <v>15</v>
      </c>
      <c r="L93" s="2">
        <v>98</v>
      </c>
      <c r="M93" s="2">
        <v>61</v>
      </c>
      <c r="N93" s="2">
        <v>2.31</v>
      </c>
      <c r="O93" s="2">
        <v>7</v>
      </c>
      <c r="P93" s="2">
        <f>(O93/E93)*60</f>
        <v>0.77319587628865971</v>
      </c>
      <c r="Q93" s="2">
        <v>467</v>
      </c>
      <c r="R93" s="2">
        <v>267</v>
      </c>
      <c r="S93" s="2">
        <v>200</v>
      </c>
      <c r="T93" s="7">
        <v>0.57199999999999995</v>
      </c>
      <c r="U93" s="2">
        <v>6</v>
      </c>
      <c r="V93" s="12">
        <v>19</v>
      </c>
      <c r="W93" s="2">
        <v>13</v>
      </c>
      <c r="X93" s="2">
        <v>2</v>
      </c>
      <c r="Y93" s="2">
        <v>3</v>
      </c>
      <c r="Z93" s="2">
        <f>Y93-X93</f>
        <v>1</v>
      </c>
      <c r="AA93" s="2">
        <f>(Z93/E93)*60</f>
        <v>0.11045655375552281</v>
      </c>
      <c r="AB93" s="2">
        <v>87</v>
      </c>
      <c r="AC93" s="2">
        <f>(AB93/E93)*60</f>
        <v>9.6097201767304856</v>
      </c>
      <c r="AD93" s="2">
        <v>79</v>
      </c>
      <c r="AE93" s="2">
        <f>(AD93/E93)*60</f>
        <v>8.7260677466863026</v>
      </c>
      <c r="AF93" s="2">
        <v>28.9</v>
      </c>
      <c r="AG93" s="2">
        <v>29.4</v>
      </c>
      <c r="AH93" s="2">
        <f>AF93-AG93</f>
        <v>-0.5</v>
      </c>
      <c r="AI93" s="2">
        <v>15</v>
      </c>
      <c r="AJ93" s="2">
        <f>(AI93/E93)*60</f>
        <v>1.6568483063328423</v>
      </c>
      <c r="AK93" s="2">
        <v>11</v>
      </c>
      <c r="AL93" s="2">
        <v>15</v>
      </c>
      <c r="AM93" s="2">
        <f>(AL93/E93)*60</f>
        <v>1.6568483063328423</v>
      </c>
      <c r="AN93" s="2" t="s">
        <v>184</v>
      </c>
      <c r="AO93" s="2">
        <v>272</v>
      </c>
      <c r="AP93" s="2">
        <v>150</v>
      </c>
      <c r="AQ93" s="14">
        <f>(AP93/E93)*60</f>
        <v>16.568483063328422</v>
      </c>
    </row>
    <row r="94" spans="1:43" x14ac:dyDescent="0.35">
      <c r="A94" s="5" t="s">
        <v>118</v>
      </c>
      <c r="B94" s="5" t="s">
        <v>78</v>
      </c>
      <c r="C94" s="2" t="s">
        <v>31</v>
      </c>
      <c r="D94" s="2">
        <v>34</v>
      </c>
      <c r="E94" s="3">
        <v>625.5</v>
      </c>
      <c r="F94" s="2">
        <v>9</v>
      </c>
      <c r="G94" s="14">
        <f>(F94/E94)*60</f>
        <v>0.86330935251798568</v>
      </c>
      <c r="H94" s="2">
        <v>6</v>
      </c>
      <c r="I94" s="14">
        <f>(H94/E94)*60</f>
        <v>0.57553956834532372</v>
      </c>
      <c r="J94" s="2">
        <v>15</v>
      </c>
      <c r="K94" s="2">
        <v>29</v>
      </c>
      <c r="L94" s="2">
        <v>172</v>
      </c>
      <c r="M94" s="2">
        <v>103</v>
      </c>
      <c r="N94" s="2">
        <v>2.54</v>
      </c>
      <c r="O94" s="2">
        <v>13.2</v>
      </c>
      <c r="P94" s="2">
        <f>(O94/E94)*60</f>
        <v>1.2661870503597121</v>
      </c>
      <c r="Q94" s="2">
        <v>155</v>
      </c>
      <c r="R94" s="2">
        <v>61</v>
      </c>
      <c r="S94" s="2">
        <v>94</v>
      </c>
      <c r="T94" s="7">
        <v>0.39400000000000002</v>
      </c>
      <c r="U94" s="2">
        <v>0</v>
      </c>
      <c r="V94" s="12">
        <v>25</v>
      </c>
      <c r="W94" s="2">
        <v>25</v>
      </c>
      <c r="X94" s="2">
        <v>11</v>
      </c>
      <c r="Y94" s="2">
        <v>3</v>
      </c>
      <c r="Z94" s="2">
        <f>Y94-X94</f>
        <v>-8</v>
      </c>
      <c r="AA94" s="2">
        <f>(Z94/E94)*60</f>
        <v>-0.76738609112709832</v>
      </c>
      <c r="AB94" s="2">
        <v>107</v>
      </c>
      <c r="AC94" s="2">
        <f>(AB94/E94)*60</f>
        <v>10.26378896882494</v>
      </c>
      <c r="AD94" s="2">
        <v>159</v>
      </c>
      <c r="AE94" s="2">
        <f>(AD94/E94)*60</f>
        <v>15.251798561151077</v>
      </c>
      <c r="AF94" s="2">
        <v>29.8</v>
      </c>
      <c r="AG94" s="2">
        <v>38.1</v>
      </c>
      <c r="AH94" s="2">
        <f>AF94-AG94</f>
        <v>-8.3000000000000007</v>
      </c>
      <c r="AI94" s="2">
        <v>29</v>
      </c>
      <c r="AJ94" s="2">
        <f>(AI94/E94)*60</f>
        <v>2.7817745803357314</v>
      </c>
      <c r="AK94" s="2">
        <v>6</v>
      </c>
      <c r="AL94" s="2">
        <v>19</v>
      </c>
      <c r="AM94" s="2">
        <f>(AL94/E94)*60</f>
        <v>1.8225419664268585</v>
      </c>
      <c r="AN94" s="2" t="s">
        <v>109</v>
      </c>
      <c r="AO94" s="2">
        <v>342</v>
      </c>
      <c r="AP94" s="2">
        <v>156</v>
      </c>
      <c r="AQ94" s="14">
        <f>(AP94/E94)*60</f>
        <v>14.964028776978417</v>
      </c>
    </row>
    <row r="95" spans="1:43" x14ac:dyDescent="0.35">
      <c r="A95" s="5" t="s">
        <v>376</v>
      </c>
      <c r="B95" s="5" t="s">
        <v>105</v>
      </c>
      <c r="C95" s="2" t="s">
        <v>31</v>
      </c>
      <c r="D95" s="2">
        <v>34</v>
      </c>
      <c r="E95" s="3">
        <v>431.4</v>
      </c>
      <c r="F95" s="2">
        <v>0</v>
      </c>
      <c r="G95" s="14">
        <f>(F95/E95)*60</f>
        <v>0</v>
      </c>
      <c r="H95" s="2">
        <v>0</v>
      </c>
      <c r="I95" s="14">
        <f>(H95/E95)*60</f>
        <v>0</v>
      </c>
      <c r="J95" s="2">
        <v>0</v>
      </c>
      <c r="K95" s="2">
        <v>6</v>
      </c>
      <c r="L95" s="2">
        <v>52</v>
      </c>
      <c r="M95" s="2">
        <v>30</v>
      </c>
      <c r="N95" s="2">
        <v>1.61</v>
      </c>
      <c r="O95" s="2">
        <v>3.9</v>
      </c>
      <c r="P95" s="2">
        <f>(O95/E95)*60</f>
        <v>0.54242002781641174</v>
      </c>
      <c r="Q95" s="2">
        <v>241</v>
      </c>
      <c r="R95" s="2">
        <v>102</v>
      </c>
      <c r="S95" s="2">
        <v>139</v>
      </c>
      <c r="T95" s="7">
        <v>0.42299999999999999</v>
      </c>
      <c r="U95" s="2">
        <v>13</v>
      </c>
      <c r="V95" s="12">
        <v>4</v>
      </c>
      <c r="W95" s="2">
        <v>17</v>
      </c>
      <c r="X95" s="2">
        <v>2</v>
      </c>
      <c r="Y95" s="2">
        <v>0</v>
      </c>
      <c r="Z95" s="2">
        <f>Y95-X95</f>
        <v>-2</v>
      </c>
      <c r="AA95" s="2">
        <f>(Z95/E95)*60</f>
        <v>-0.27816411682892905</v>
      </c>
      <c r="AB95" s="2">
        <v>85</v>
      </c>
      <c r="AC95" s="2">
        <f>(AB95/E95)*60</f>
        <v>11.821974965229485</v>
      </c>
      <c r="AD95" s="2">
        <v>103</v>
      </c>
      <c r="AE95" s="2">
        <f>(AD95/E95)*60</f>
        <v>14.325452016689848</v>
      </c>
      <c r="AF95" s="2">
        <v>10.7</v>
      </c>
      <c r="AG95" s="2">
        <v>27.9</v>
      </c>
      <c r="AH95" s="2">
        <f>AF95-AG95</f>
        <v>-17.2</v>
      </c>
      <c r="AI95" s="2">
        <v>6</v>
      </c>
      <c r="AJ95" s="2">
        <f>(AI95/E95)*60</f>
        <v>0.83449235048678727</v>
      </c>
      <c r="AK95" s="2">
        <v>2</v>
      </c>
      <c r="AL95" s="2">
        <v>3</v>
      </c>
      <c r="AM95" s="2">
        <f>(AL95/E95)*60</f>
        <v>0.41724617524339364</v>
      </c>
      <c r="AN95" s="2" t="s">
        <v>377</v>
      </c>
      <c r="AO95" s="2">
        <v>190</v>
      </c>
      <c r="AP95" s="2">
        <v>107</v>
      </c>
      <c r="AQ95" s="14">
        <f>(AP95/E95)*60</f>
        <v>14.881780250347706</v>
      </c>
    </row>
    <row r="96" spans="1:43" x14ac:dyDescent="0.35">
      <c r="A96" s="5" t="s">
        <v>131</v>
      </c>
      <c r="B96" s="5" t="s">
        <v>34</v>
      </c>
      <c r="C96" s="2" t="s">
        <v>31</v>
      </c>
      <c r="D96" s="2">
        <v>34</v>
      </c>
      <c r="E96" s="3">
        <v>565.31666666666672</v>
      </c>
      <c r="F96" s="2">
        <v>3</v>
      </c>
      <c r="G96" s="14">
        <f>(F96/E96)*60</f>
        <v>0.31840561337303575</v>
      </c>
      <c r="H96" s="2">
        <v>10</v>
      </c>
      <c r="I96" s="14">
        <f>(H96/E96)*60</f>
        <v>1.0613520445767857</v>
      </c>
      <c r="J96" s="2">
        <v>13</v>
      </c>
      <c r="K96" s="2">
        <v>17</v>
      </c>
      <c r="L96" s="2">
        <v>84</v>
      </c>
      <c r="M96" s="2">
        <v>45</v>
      </c>
      <c r="N96" s="2">
        <v>2.8</v>
      </c>
      <c r="O96" s="2">
        <v>6.3</v>
      </c>
      <c r="P96" s="2">
        <f>(O96/E96)*60</f>
        <v>0.668651788083375</v>
      </c>
      <c r="Q96" s="2">
        <v>91</v>
      </c>
      <c r="R96" s="2">
        <v>47</v>
      </c>
      <c r="S96" s="2">
        <v>44</v>
      </c>
      <c r="T96" s="7">
        <v>0.51600000000000001</v>
      </c>
      <c r="U96" s="2">
        <v>5</v>
      </c>
      <c r="V96" s="12">
        <v>23</v>
      </c>
      <c r="W96" s="2">
        <v>18</v>
      </c>
      <c r="X96" s="2">
        <v>6</v>
      </c>
      <c r="Y96" s="2">
        <v>6</v>
      </c>
      <c r="Z96" s="2">
        <f>Y96-X96</f>
        <v>0</v>
      </c>
      <c r="AA96" s="2">
        <f>(Z96/E96)*60</f>
        <v>0</v>
      </c>
      <c r="AB96" s="2">
        <v>84</v>
      </c>
      <c r="AC96" s="2">
        <f>(AB96/E96)*60</f>
        <v>8.9153571744450009</v>
      </c>
      <c r="AD96" s="2">
        <v>132</v>
      </c>
      <c r="AE96" s="2">
        <f>(AD96/E96)*60</f>
        <v>14.009846988413573</v>
      </c>
      <c r="AF96" s="2">
        <v>25.6</v>
      </c>
      <c r="AG96" s="2">
        <v>25.1</v>
      </c>
      <c r="AH96" s="2">
        <f>AF96-AG96</f>
        <v>0.5</v>
      </c>
      <c r="AI96" s="2">
        <v>17</v>
      </c>
      <c r="AJ96" s="2">
        <f>(AI96/E96)*60</f>
        <v>1.8042984757805358</v>
      </c>
      <c r="AK96" s="2">
        <v>7</v>
      </c>
      <c r="AL96" s="2">
        <v>17</v>
      </c>
      <c r="AM96" s="2">
        <f>(AL96/E96)*60</f>
        <v>1.8042984757805358</v>
      </c>
      <c r="AN96" s="2" t="s">
        <v>132</v>
      </c>
      <c r="AO96" s="2">
        <v>310</v>
      </c>
      <c r="AP96" s="2">
        <v>140</v>
      </c>
      <c r="AQ96" s="14">
        <f>(AP96/E96)*60</f>
        <v>14.858928624075</v>
      </c>
    </row>
    <row r="97" spans="1:43" x14ac:dyDescent="0.35">
      <c r="A97" s="5" t="s">
        <v>50</v>
      </c>
      <c r="B97" s="5" t="s">
        <v>34</v>
      </c>
      <c r="C97" s="2" t="s">
        <v>39</v>
      </c>
      <c r="D97" s="2">
        <v>34</v>
      </c>
      <c r="E97" s="3">
        <v>629.95000000000005</v>
      </c>
      <c r="F97" s="2">
        <v>5</v>
      </c>
      <c r="G97" s="14">
        <f>(F97/E97)*60</f>
        <v>0.47622827208508606</v>
      </c>
      <c r="H97" s="2">
        <v>9</v>
      </c>
      <c r="I97" s="14">
        <f>(H97/E97)*60</f>
        <v>0.85721088975315496</v>
      </c>
      <c r="J97" s="2">
        <v>14</v>
      </c>
      <c r="K97" s="2">
        <v>6</v>
      </c>
      <c r="L97" s="2">
        <v>122</v>
      </c>
      <c r="M97" s="2">
        <v>55</v>
      </c>
      <c r="N97" s="2">
        <v>1.1499999999999999</v>
      </c>
      <c r="O97" s="2">
        <v>4.3600000000000003</v>
      </c>
      <c r="P97" s="2">
        <f>(O97/E97)*60</f>
        <v>0.41527105325819508</v>
      </c>
      <c r="Q97" s="2">
        <v>0</v>
      </c>
      <c r="R97" s="2">
        <v>0</v>
      </c>
      <c r="S97" s="2">
        <v>0</v>
      </c>
      <c r="T97" s="2">
        <v>0</v>
      </c>
      <c r="U97" s="2">
        <v>12</v>
      </c>
      <c r="V97" s="12">
        <v>36</v>
      </c>
      <c r="W97" s="2">
        <v>24</v>
      </c>
      <c r="X97" s="2">
        <v>9</v>
      </c>
      <c r="Y97" s="2">
        <v>4</v>
      </c>
      <c r="Z97" s="2">
        <f>Y97-X97</f>
        <v>-5</v>
      </c>
      <c r="AA97" s="2">
        <f>(Z97/E97)*60</f>
        <v>-0.47622827208508606</v>
      </c>
      <c r="AB97" s="2">
        <v>192</v>
      </c>
      <c r="AC97" s="2">
        <f>(AB97/E97)*60</f>
        <v>18.287165648067308</v>
      </c>
      <c r="AD97" s="2">
        <v>138</v>
      </c>
      <c r="AE97" s="2">
        <f>(AD97/E97)*60</f>
        <v>13.143900309548377</v>
      </c>
      <c r="AF97" s="2">
        <v>36.799999999999997</v>
      </c>
      <c r="AG97" s="2">
        <v>27.2</v>
      </c>
      <c r="AH97" s="2">
        <f>AF97-AG97</f>
        <v>9.5999999999999979</v>
      </c>
      <c r="AI97" s="2">
        <v>6</v>
      </c>
      <c r="AJ97" s="2">
        <f>(AI97/E97)*60</f>
        <v>0.57147392650210338</v>
      </c>
      <c r="AK97" s="2">
        <v>9</v>
      </c>
      <c r="AL97" s="2">
        <v>24</v>
      </c>
      <c r="AM97" s="2">
        <f>(AL97/E97)*60</f>
        <v>2.2858957060084135</v>
      </c>
      <c r="AN97" s="2" t="s">
        <v>51</v>
      </c>
      <c r="AO97" s="2">
        <v>256</v>
      </c>
      <c r="AP97" s="2">
        <v>154</v>
      </c>
      <c r="AQ97" s="14">
        <f>(AP97/E97)*60</f>
        <v>14.667830780220651</v>
      </c>
    </row>
    <row r="98" spans="1:43" x14ac:dyDescent="0.35">
      <c r="A98" s="5" t="s">
        <v>214</v>
      </c>
      <c r="B98" s="5" t="s">
        <v>105</v>
      </c>
      <c r="C98" s="2" t="s">
        <v>31</v>
      </c>
      <c r="D98" s="2">
        <v>34</v>
      </c>
      <c r="E98" s="3">
        <v>562.76666666666665</v>
      </c>
      <c r="F98" s="2">
        <v>5</v>
      </c>
      <c r="G98" s="14">
        <f>(F98/E98)*60</f>
        <v>0.53308061363501758</v>
      </c>
      <c r="H98" s="2">
        <v>5</v>
      </c>
      <c r="I98" s="14">
        <f>(H98/E98)*60</f>
        <v>0.53308061363501758</v>
      </c>
      <c r="J98" s="2">
        <v>10</v>
      </c>
      <c r="K98" s="2">
        <v>11</v>
      </c>
      <c r="L98" s="2">
        <v>134</v>
      </c>
      <c r="M98" s="2">
        <v>66</v>
      </c>
      <c r="N98" s="2">
        <v>1.87</v>
      </c>
      <c r="O98" s="2">
        <v>7.3</v>
      </c>
      <c r="P98" s="2">
        <f>(O98/E98)*60</f>
        <v>0.7782976959071255</v>
      </c>
      <c r="Q98" s="2">
        <v>193</v>
      </c>
      <c r="R98" s="2">
        <v>93</v>
      </c>
      <c r="S98" s="2">
        <v>100</v>
      </c>
      <c r="T98" s="7">
        <v>0.48199999999999998</v>
      </c>
      <c r="U98" s="2">
        <v>1</v>
      </c>
      <c r="V98" s="12">
        <v>17</v>
      </c>
      <c r="W98" s="2">
        <v>16</v>
      </c>
      <c r="X98" s="2">
        <v>10</v>
      </c>
      <c r="Y98" s="2">
        <v>4</v>
      </c>
      <c r="Z98" s="2">
        <f>Y98-X98</f>
        <v>-6</v>
      </c>
      <c r="AA98" s="2">
        <f>(Z98/E98)*60</f>
        <v>-0.63969673636202096</v>
      </c>
      <c r="AB98" s="2">
        <v>142</v>
      </c>
      <c r="AC98" s="2">
        <f>(AB98/E98)*60</f>
        <v>15.139489427234498</v>
      </c>
      <c r="AD98" s="2">
        <v>150</v>
      </c>
      <c r="AE98" s="2">
        <f>(AD98/E98)*60</f>
        <v>15.992418409050524</v>
      </c>
      <c r="AF98" s="2">
        <v>26.8</v>
      </c>
      <c r="AG98" s="2">
        <v>29.3</v>
      </c>
      <c r="AH98" s="2">
        <f>AF98-AG98</f>
        <v>-2.5</v>
      </c>
      <c r="AI98" s="2">
        <v>11</v>
      </c>
      <c r="AJ98" s="2">
        <f>(AI98/E98)*60</f>
        <v>1.1727773499970384</v>
      </c>
      <c r="AK98" s="2">
        <v>20</v>
      </c>
      <c r="AL98" s="2">
        <v>25</v>
      </c>
      <c r="AM98" s="2">
        <f>(AL98/E98)*60</f>
        <v>2.6654030681750873</v>
      </c>
      <c r="AN98" s="2" t="s">
        <v>215</v>
      </c>
      <c r="AO98" s="2">
        <v>253</v>
      </c>
      <c r="AP98" s="2">
        <v>137</v>
      </c>
      <c r="AQ98" s="14">
        <f>(AP98/E98)*60</f>
        <v>14.606408813599479</v>
      </c>
    </row>
    <row r="99" spans="1:43" x14ac:dyDescent="0.35">
      <c r="A99" s="5" t="s">
        <v>234</v>
      </c>
      <c r="B99" s="5" t="s">
        <v>46</v>
      </c>
      <c r="C99" s="2" t="s">
        <v>31</v>
      </c>
      <c r="D99" s="2">
        <v>34</v>
      </c>
      <c r="E99" s="3">
        <v>525.91666666666663</v>
      </c>
      <c r="F99" s="2">
        <v>5</v>
      </c>
      <c r="G99" s="14">
        <f>(F99/E99)*60</f>
        <v>0.57043257803834579</v>
      </c>
      <c r="H99" s="2">
        <v>6</v>
      </c>
      <c r="I99" s="14">
        <f>(H99/E99)*60</f>
        <v>0.68451909364601493</v>
      </c>
      <c r="J99" s="2">
        <v>11</v>
      </c>
      <c r="K99" s="2">
        <v>17</v>
      </c>
      <c r="L99" s="2">
        <v>137</v>
      </c>
      <c r="M99" s="2">
        <v>79</v>
      </c>
      <c r="N99" s="2">
        <v>2.27</v>
      </c>
      <c r="O99" s="2">
        <v>8.9</v>
      </c>
      <c r="P99" s="2">
        <f>(O99/E99)*60</f>
        <v>1.0153699889082555</v>
      </c>
      <c r="Q99" s="2">
        <v>17</v>
      </c>
      <c r="R99" s="2">
        <v>10</v>
      </c>
      <c r="S99" s="2">
        <v>7</v>
      </c>
      <c r="T99" s="7">
        <v>0.58799999999999997</v>
      </c>
      <c r="U99" s="2">
        <v>0</v>
      </c>
      <c r="V99" s="12">
        <v>15</v>
      </c>
      <c r="W99" s="2">
        <v>15</v>
      </c>
      <c r="X99" s="2">
        <v>2</v>
      </c>
      <c r="Y99" s="2">
        <v>5</v>
      </c>
      <c r="Z99" s="2">
        <f>Y99-X99</f>
        <v>3</v>
      </c>
      <c r="AA99" s="2">
        <f>(Z99/E99)*60</f>
        <v>0.34225954682300747</v>
      </c>
      <c r="AB99" s="2">
        <v>85</v>
      </c>
      <c r="AC99" s="2">
        <f>(AB99/E99)*60</f>
        <v>9.6973538266518791</v>
      </c>
      <c r="AD99" s="2">
        <v>141</v>
      </c>
      <c r="AE99" s="2">
        <f>(AD99/E99)*60</f>
        <v>16.086198700681351</v>
      </c>
      <c r="AF99" s="2">
        <v>20.6</v>
      </c>
      <c r="AG99" s="2">
        <v>27.1</v>
      </c>
      <c r="AH99" s="2">
        <f>AF99-AG99</f>
        <v>-6.5</v>
      </c>
      <c r="AI99" s="2">
        <v>17</v>
      </c>
      <c r="AJ99" s="2">
        <f>(AI99/E99)*60</f>
        <v>1.9394707653303758</v>
      </c>
      <c r="AK99" s="2">
        <v>7</v>
      </c>
      <c r="AL99" s="2">
        <v>10</v>
      </c>
      <c r="AM99" s="2">
        <f>(AL99/E99)*60</f>
        <v>1.1408651560766916</v>
      </c>
      <c r="AN99" s="2" t="s">
        <v>235</v>
      </c>
      <c r="AO99" s="2">
        <v>283</v>
      </c>
      <c r="AP99" s="2">
        <v>122</v>
      </c>
      <c r="AQ99" s="14">
        <f>(AP99/E99)*60</f>
        <v>13.918554904135638</v>
      </c>
    </row>
    <row r="100" spans="1:43" x14ac:dyDescent="0.35">
      <c r="A100" s="5" t="s">
        <v>100</v>
      </c>
      <c r="B100" s="5" t="s">
        <v>30</v>
      </c>
      <c r="C100" s="2" t="s">
        <v>31</v>
      </c>
      <c r="D100" s="2">
        <v>34</v>
      </c>
      <c r="E100" s="3">
        <v>639.68333333333328</v>
      </c>
      <c r="F100" s="2">
        <v>7</v>
      </c>
      <c r="G100" s="14">
        <f>(F100/E100)*60</f>
        <v>0.65657486777311691</v>
      </c>
      <c r="H100" s="2">
        <v>16</v>
      </c>
      <c r="I100" s="14">
        <f>(H100/E100)*60</f>
        <v>1.5007425549099815</v>
      </c>
      <c r="J100" s="2">
        <v>23</v>
      </c>
      <c r="K100" s="2">
        <v>30</v>
      </c>
      <c r="L100" s="2">
        <v>137</v>
      </c>
      <c r="M100" s="2">
        <v>74</v>
      </c>
      <c r="N100" s="2">
        <v>2.96</v>
      </c>
      <c r="O100" s="2">
        <v>11.6</v>
      </c>
      <c r="P100" s="2">
        <f>(O100/E100)*60</f>
        <v>1.0880383523097366</v>
      </c>
      <c r="Q100" s="2">
        <v>6</v>
      </c>
      <c r="R100" s="2">
        <v>2</v>
      </c>
      <c r="S100" s="2">
        <v>4</v>
      </c>
      <c r="T100" s="7">
        <v>0.33300000000000002</v>
      </c>
      <c r="U100" s="2">
        <v>5</v>
      </c>
      <c r="V100" s="12">
        <v>27</v>
      </c>
      <c r="W100" s="2">
        <v>22</v>
      </c>
      <c r="X100" s="2">
        <v>7</v>
      </c>
      <c r="Y100" s="2">
        <v>9</v>
      </c>
      <c r="Z100" s="2">
        <f>Y100-X100</f>
        <v>2</v>
      </c>
      <c r="AA100" s="2">
        <f>(Z100/E100)*60</f>
        <v>0.18759281936374769</v>
      </c>
      <c r="AB100" s="2">
        <v>82</v>
      </c>
      <c r="AC100" s="2">
        <f>(AB100/E100)*60</f>
        <v>7.6913055939136568</v>
      </c>
      <c r="AD100" s="2">
        <v>139</v>
      </c>
      <c r="AE100" s="2">
        <f>(AD100/E100)*60</f>
        <v>13.037700945780465</v>
      </c>
      <c r="AF100" s="2">
        <v>39.1</v>
      </c>
      <c r="AG100" s="2">
        <v>28.8</v>
      </c>
      <c r="AH100" s="2">
        <f>AF100-AG100</f>
        <v>10.3</v>
      </c>
      <c r="AI100" s="2">
        <v>30</v>
      </c>
      <c r="AJ100" s="2">
        <f>(AI100/E100)*60</f>
        <v>2.8138922904562156</v>
      </c>
      <c r="AK100" s="2">
        <v>23</v>
      </c>
      <c r="AL100" s="2">
        <v>24</v>
      </c>
      <c r="AM100" s="2">
        <f>(AL100/E100)*60</f>
        <v>2.2511138323649726</v>
      </c>
      <c r="AN100" s="2" t="s">
        <v>101</v>
      </c>
      <c r="AO100" s="2">
        <v>320</v>
      </c>
      <c r="AP100" s="2">
        <v>142</v>
      </c>
      <c r="AQ100" s="14">
        <f>(AP100/E100)*60</f>
        <v>13.319090174826087</v>
      </c>
    </row>
    <row r="101" spans="1:43" x14ac:dyDescent="0.35">
      <c r="A101" s="5" t="s">
        <v>55</v>
      </c>
      <c r="B101" s="5" t="s">
        <v>30</v>
      </c>
      <c r="C101" s="2" t="s">
        <v>39</v>
      </c>
      <c r="D101" s="2">
        <v>34</v>
      </c>
      <c r="E101" s="3">
        <v>696.35</v>
      </c>
      <c r="F101" s="2">
        <v>1</v>
      </c>
      <c r="G101" s="14">
        <f>(F101/E101)*60</f>
        <v>8.6163567171680902E-2</v>
      </c>
      <c r="H101" s="2">
        <v>12</v>
      </c>
      <c r="I101" s="14">
        <f>(H101/E101)*60</f>
        <v>1.0339628060601709</v>
      </c>
      <c r="J101" s="2">
        <v>13</v>
      </c>
      <c r="K101" s="2">
        <v>1</v>
      </c>
      <c r="L101" s="2">
        <v>163</v>
      </c>
      <c r="M101" s="2">
        <v>85</v>
      </c>
      <c r="N101" s="2">
        <v>0.85</v>
      </c>
      <c r="O101" s="2">
        <v>4.2</v>
      </c>
      <c r="P101" s="2">
        <f>(O101/E101)*60</f>
        <v>0.36188698212105985</v>
      </c>
      <c r="Q101" s="2">
        <v>0</v>
      </c>
      <c r="R101" s="2">
        <v>0</v>
      </c>
      <c r="S101" s="2">
        <v>0</v>
      </c>
      <c r="T101" s="2">
        <v>0</v>
      </c>
      <c r="U101" s="2">
        <v>22</v>
      </c>
      <c r="V101" s="12">
        <v>35</v>
      </c>
      <c r="W101" s="2">
        <v>13</v>
      </c>
      <c r="X101" s="2">
        <v>4</v>
      </c>
      <c r="Y101" s="2">
        <v>4</v>
      </c>
      <c r="Z101" s="2">
        <f>Y101-X101</f>
        <v>0</v>
      </c>
      <c r="AA101" s="2">
        <f>(Z101/E101)*60</f>
        <v>0</v>
      </c>
      <c r="AB101" s="2">
        <v>266</v>
      </c>
      <c r="AC101" s="2">
        <f>(AB101/E101)*60</f>
        <v>22.919508867667123</v>
      </c>
      <c r="AD101" s="2">
        <v>114</v>
      </c>
      <c r="AE101" s="2">
        <f>(AD101/E101)*60</f>
        <v>9.8226466575716227</v>
      </c>
      <c r="AF101" s="2">
        <v>39.200000000000003</v>
      </c>
      <c r="AG101" s="2">
        <v>25.5</v>
      </c>
      <c r="AH101" s="2">
        <f>AF101-AG101</f>
        <v>13.700000000000003</v>
      </c>
      <c r="AI101" s="2">
        <v>1</v>
      </c>
      <c r="AJ101" s="2">
        <f>(AI101/E101)*60</f>
        <v>8.6163567171680902E-2</v>
      </c>
      <c r="AK101" s="2">
        <v>3</v>
      </c>
      <c r="AL101" s="2">
        <v>27</v>
      </c>
      <c r="AM101" s="2">
        <f>(AL101/E101)*60</f>
        <v>2.3264163136353844</v>
      </c>
      <c r="AN101" s="2" t="s">
        <v>56</v>
      </c>
      <c r="AO101" s="2">
        <v>231</v>
      </c>
      <c r="AP101" s="2">
        <v>153</v>
      </c>
      <c r="AQ101" s="14">
        <f>(AP101/E101)*60</f>
        <v>13.183025777267178</v>
      </c>
    </row>
    <row r="102" spans="1:43" x14ac:dyDescent="0.35">
      <c r="A102" s="5" t="s">
        <v>333</v>
      </c>
      <c r="B102" s="5" t="s">
        <v>122</v>
      </c>
      <c r="C102" s="2" t="s">
        <v>39</v>
      </c>
      <c r="D102" s="2">
        <v>34</v>
      </c>
      <c r="E102" s="3">
        <v>386.05</v>
      </c>
      <c r="F102" s="2">
        <v>0</v>
      </c>
      <c r="G102" s="14">
        <f>(F102/E102)*60</f>
        <v>0</v>
      </c>
      <c r="H102" s="2">
        <v>1</v>
      </c>
      <c r="I102" s="14">
        <f>(H102/E102)*60</f>
        <v>0.15542028234684627</v>
      </c>
      <c r="J102" s="2">
        <v>1</v>
      </c>
      <c r="K102" s="2">
        <v>3</v>
      </c>
      <c r="L102" s="2">
        <v>40</v>
      </c>
      <c r="M102" s="2">
        <v>13</v>
      </c>
      <c r="N102" s="2">
        <v>0.65</v>
      </c>
      <c r="O102" s="2">
        <v>1.25</v>
      </c>
      <c r="P102" s="2">
        <f>(O102/E102)*60</f>
        <v>0.19427535293355783</v>
      </c>
      <c r="Q102" s="2">
        <v>0</v>
      </c>
      <c r="R102" s="2">
        <v>0</v>
      </c>
      <c r="S102" s="2">
        <v>0</v>
      </c>
      <c r="T102" s="2">
        <v>0</v>
      </c>
      <c r="U102" s="2">
        <v>16</v>
      </c>
      <c r="V102" s="12">
        <v>6</v>
      </c>
      <c r="W102" s="2">
        <v>22</v>
      </c>
      <c r="X102" s="2">
        <v>1</v>
      </c>
      <c r="Y102" s="2">
        <v>2</v>
      </c>
      <c r="Z102" s="2">
        <f>Y102-X102</f>
        <v>1</v>
      </c>
      <c r="AA102" s="2">
        <f>(Z102/E102)*60</f>
        <v>0.15542028234684627</v>
      </c>
      <c r="AB102" s="2">
        <v>81</v>
      </c>
      <c r="AC102" s="2">
        <f>(AB102/E102)*60</f>
        <v>12.589042870094547</v>
      </c>
      <c r="AD102" s="2">
        <v>68</v>
      </c>
      <c r="AE102" s="2">
        <f>(AD102/E102)*60</f>
        <v>10.568579199585544</v>
      </c>
      <c r="AF102" s="2">
        <v>15.4</v>
      </c>
      <c r="AG102" s="2">
        <v>24.9</v>
      </c>
      <c r="AH102" s="2">
        <f>AF102-AG102</f>
        <v>-9.4999999999999982</v>
      </c>
      <c r="AI102" s="2">
        <v>3</v>
      </c>
      <c r="AJ102" s="2">
        <f>(AI102/E102)*60</f>
        <v>0.46626084704053877</v>
      </c>
      <c r="AK102" s="2">
        <v>2</v>
      </c>
      <c r="AL102" s="2">
        <v>3</v>
      </c>
      <c r="AM102" s="2">
        <f>(AL102/E102)*60</f>
        <v>0.46626084704053877</v>
      </c>
      <c r="AN102" s="2" t="s">
        <v>334</v>
      </c>
      <c r="AO102" s="2">
        <v>159</v>
      </c>
      <c r="AP102" s="2">
        <v>84</v>
      </c>
      <c r="AQ102" s="14">
        <f>(AP102/E102)*60</f>
        <v>13.055303717135086</v>
      </c>
    </row>
    <row r="103" spans="1:43" x14ac:dyDescent="0.35">
      <c r="A103" s="5" t="s">
        <v>244</v>
      </c>
      <c r="B103" s="5" t="s">
        <v>105</v>
      </c>
      <c r="C103" s="2" t="s">
        <v>39</v>
      </c>
      <c r="D103" s="2">
        <v>34</v>
      </c>
      <c r="E103" s="3">
        <v>698.65</v>
      </c>
      <c r="F103" s="2">
        <v>0</v>
      </c>
      <c r="G103" s="14">
        <f>(F103/E103)*60</f>
        <v>0</v>
      </c>
      <c r="H103" s="2">
        <v>4</v>
      </c>
      <c r="I103" s="14">
        <f>(H103/E103)*60</f>
        <v>0.34351964502970017</v>
      </c>
      <c r="J103" s="2">
        <v>4</v>
      </c>
      <c r="K103" s="2">
        <v>5</v>
      </c>
      <c r="L103" s="2">
        <v>84</v>
      </c>
      <c r="M103" s="2">
        <v>44</v>
      </c>
      <c r="N103" s="2">
        <v>0.81</v>
      </c>
      <c r="O103" s="2">
        <v>2.56</v>
      </c>
      <c r="P103" s="2">
        <f>(O103/E103)*60</f>
        <v>0.21985257281900811</v>
      </c>
      <c r="Q103" s="2">
        <v>0</v>
      </c>
      <c r="R103" s="2">
        <v>0</v>
      </c>
      <c r="S103" s="2">
        <v>0</v>
      </c>
      <c r="T103" s="2">
        <v>0</v>
      </c>
      <c r="U103" s="2">
        <v>8</v>
      </c>
      <c r="V103" s="12">
        <v>14</v>
      </c>
      <c r="W103" s="2">
        <v>22</v>
      </c>
      <c r="X103" s="2">
        <v>2</v>
      </c>
      <c r="Y103" s="2">
        <v>1</v>
      </c>
      <c r="Z103" s="2">
        <f>Y103-X103</f>
        <v>-1</v>
      </c>
      <c r="AA103" s="2">
        <f>(Z103/E103)*60</f>
        <v>-8.5879911257425043E-2</v>
      </c>
      <c r="AB103" s="2">
        <v>182</v>
      </c>
      <c r="AC103" s="2">
        <f>(AB103/E103)*60</f>
        <v>15.630143848851358</v>
      </c>
      <c r="AD103" s="2">
        <v>136</v>
      </c>
      <c r="AE103" s="2">
        <f>(AD103/E103)*60</f>
        <v>11.679667931009806</v>
      </c>
      <c r="AF103" s="2">
        <v>24.4</v>
      </c>
      <c r="AG103" s="2">
        <v>37.9</v>
      </c>
      <c r="AH103" s="2">
        <f>AF103-AG103</f>
        <v>-13.5</v>
      </c>
      <c r="AI103" s="2">
        <v>5</v>
      </c>
      <c r="AJ103" s="2">
        <f>(AI103/E103)*60</f>
        <v>0.42939955628712517</v>
      </c>
      <c r="AK103" s="2">
        <v>1</v>
      </c>
      <c r="AL103" s="2">
        <v>5</v>
      </c>
      <c r="AM103" s="2">
        <f>(AL103/E103)*60</f>
        <v>0.42939955628712517</v>
      </c>
      <c r="AN103" s="2" t="s">
        <v>245</v>
      </c>
      <c r="AO103" s="2">
        <v>252</v>
      </c>
      <c r="AP103" s="2">
        <v>149</v>
      </c>
      <c r="AQ103" s="14">
        <f>(AP103/E103)*60</f>
        <v>12.79610677735633</v>
      </c>
    </row>
    <row r="104" spans="1:43" x14ac:dyDescent="0.35">
      <c r="A104" s="5" t="s">
        <v>153</v>
      </c>
      <c r="B104" s="5" t="s">
        <v>108</v>
      </c>
      <c r="C104" s="2" t="s">
        <v>39</v>
      </c>
      <c r="D104" s="2">
        <v>34</v>
      </c>
      <c r="E104" s="3">
        <v>559</v>
      </c>
      <c r="F104" s="2">
        <v>2</v>
      </c>
      <c r="G104" s="14">
        <f>(F104/E104)*60</f>
        <v>0.21466905187835419</v>
      </c>
      <c r="H104" s="2">
        <v>6</v>
      </c>
      <c r="I104" s="14">
        <f>(H104/E104)*60</f>
        <v>0.64400715563506261</v>
      </c>
      <c r="J104" s="2">
        <v>8</v>
      </c>
      <c r="K104" s="2">
        <v>1</v>
      </c>
      <c r="L104" s="2">
        <v>92</v>
      </c>
      <c r="M104" s="2">
        <v>44</v>
      </c>
      <c r="N104" s="2">
        <v>0.65</v>
      </c>
      <c r="O104" s="2">
        <v>1.9</v>
      </c>
      <c r="P104" s="2">
        <f>(O104/E104)*60</f>
        <v>0.2039355992844365</v>
      </c>
      <c r="Q104" s="2">
        <v>0</v>
      </c>
      <c r="R104" s="2">
        <v>0</v>
      </c>
      <c r="S104" s="2">
        <v>0</v>
      </c>
      <c r="T104" s="2">
        <v>0</v>
      </c>
      <c r="U104" s="2">
        <v>3</v>
      </c>
      <c r="V104" s="12">
        <v>21</v>
      </c>
      <c r="W104" s="2">
        <v>24</v>
      </c>
      <c r="X104" s="2">
        <v>3</v>
      </c>
      <c r="Y104" s="2">
        <v>1</v>
      </c>
      <c r="Z104" s="2">
        <f>Y104-X104</f>
        <v>-2</v>
      </c>
      <c r="AA104" s="2">
        <f>(Z104/E104)*60</f>
        <v>-0.21466905187835419</v>
      </c>
      <c r="AB104" s="2">
        <v>177</v>
      </c>
      <c r="AC104" s="2">
        <f>(AB104/E104)*60</f>
        <v>18.998211091234349</v>
      </c>
      <c r="AD104" s="2">
        <v>143</v>
      </c>
      <c r="AE104" s="2">
        <f>(AD104/E104)*60</f>
        <v>15.348837209302326</v>
      </c>
      <c r="AF104" s="2">
        <v>22.1</v>
      </c>
      <c r="AG104" s="2">
        <v>40.1</v>
      </c>
      <c r="AH104" s="2">
        <f>AF104-AG104</f>
        <v>-18</v>
      </c>
      <c r="AI104" s="2">
        <v>1</v>
      </c>
      <c r="AJ104" s="2">
        <f>(AI104/E104)*60</f>
        <v>0.1073345259391771</v>
      </c>
      <c r="AK104" s="2">
        <v>3</v>
      </c>
      <c r="AL104" s="2">
        <v>8</v>
      </c>
      <c r="AM104" s="2">
        <f>(AL104/E104)*60</f>
        <v>0.85867620751341678</v>
      </c>
      <c r="AN104" s="2" t="s">
        <v>154</v>
      </c>
      <c r="AO104" s="2">
        <v>206</v>
      </c>
      <c r="AP104" s="2">
        <v>109</v>
      </c>
      <c r="AQ104" s="14">
        <f>(AP104/E104)*60</f>
        <v>11.699463327370305</v>
      </c>
    </row>
    <row r="105" spans="1:43" x14ac:dyDescent="0.35">
      <c r="A105" s="5" t="s">
        <v>181</v>
      </c>
      <c r="B105" s="5" t="s">
        <v>105</v>
      </c>
      <c r="C105" s="2" t="s">
        <v>39</v>
      </c>
      <c r="D105" s="2">
        <v>34</v>
      </c>
      <c r="E105" s="3">
        <v>710.2833333333333</v>
      </c>
      <c r="F105" s="2">
        <v>2</v>
      </c>
      <c r="G105" s="14">
        <f>(F105/E105)*60</f>
        <v>0.16894666447661733</v>
      </c>
      <c r="H105" s="2">
        <v>4</v>
      </c>
      <c r="I105" s="14">
        <f>(H105/E105)*60</f>
        <v>0.33789332895323465</v>
      </c>
      <c r="J105" s="2">
        <v>6</v>
      </c>
      <c r="K105" s="2">
        <v>5</v>
      </c>
      <c r="L105" s="2">
        <v>141</v>
      </c>
      <c r="M105" s="2">
        <v>60</v>
      </c>
      <c r="N105" s="2">
        <v>1.1299999999999999</v>
      </c>
      <c r="O105" s="2">
        <v>4.9800000000000004</v>
      </c>
      <c r="P105" s="2">
        <f>(O105/E105)*60</f>
        <v>0.42067719454677716</v>
      </c>
      <c r="Q105" s="2">
        <v>0</v>
      </c>
      <c r="R105" s="2">
        <v>0</v>
      </c>
      <c r="S105" s="2">
        <v>0</v>
      </c>
      <c r="T105" s="2">
        <v>0</v>
      </c>
      <c r="U105" s="2">
        <v>19</v>
      </c>
      <c r="V105" s="12">
        <v>19</v>
      </c>
      <c r="W105" s="2">
        <v>38</v>
      </c>
      <c r="X105" s="2">
        <v>5</v>
      </c>
      <c r="Y105" s="2">
        <v>2</v>
      </c>
      <c r="Z105" s="2">
        <f>Y105-X105</f>
        <v>-3</v>
      </c>
      <c r="AA105" s="2">
        <f>(Z105/E105)*60</f>
        <v>-0.25341999671492599</v>
      </c>
      <c r="AB105" s="2">
        <v>225</v>
      </c>
      <c r="AC105" s="2">
        <f>(AB105/E105)*60</f>
        <v>19.006499753619448</v>
      </c>
      <c r="AD105" s="2">
        <v>130</v>
      </c>
      <c r="AE105" s="2">
        <f>(AD105/E105)*60</f>
        <v>10.981533190980125</v>
      </c>
      <c r="AF105" s="2">
        <v>35.299999999999997</v>
      </c>
      <c r="AG105" s="2">
        <v>43.3</v>
      </c>
      <c r="AH105" s="2">
        <f>AF105-AG105</f>
        <v>-8</v>
      </c>
      <c r="AI105" s="2">
        <v>5</v>
      </c>
      <c r="AJ105" s="2">
        <f>(AI105/E105)*60</f>
        <v>0.42236666119154331</v>
      </c>
      <c r="AK105" s="2">
        <v>7</v>
      </c>
      <c r="AL105" s="2">
        <v>17</v>
      </c>
      <c r="AM105" s="2">
        <f>(AL105/E105)*60</f>
        <v>1.4360466480512473</v>
      </c>
      <c r="AN105" s="2" t="s">
        <v>182</v>
      </c>
      <c r="AO105" s="2">
        <v>265</v>
      </c>
      <c r="AP105" s="2">
        <v>137</v>
      </c>
      <c r="AQ105" s="14">
        <f>(AP105/E105)*60</f>
        <v>11.572846516648287</v>
      </c>
    </row>
    <row r="106" spans="1:43" x14ac:dyDescent="0.35">
      <c r="A106" s="5" t="s">
        <v>80</v>
      </c>
      <c r="B106" s="5" t="s">
        <v>30</v>
      </c>
      <c r="C106" s="2" t="s">
        <v>31</v>
      </c>
      <c r="D106" s="2">
        <v>33</v>
      </c>
      <c r="E106" s="3">
        <v>583.13333333333333</v>
      </c>
      <c r="F106" s="2">
        <v>9</v>
      </c>
      <c r="G106" s="14">
        <f>(F106/E106)*60</f>
        <v>0.92603178232536865</v>
      </c>
      <c r="H106" s="2">
        <v>7</v>
      </c>
      <c r="I106" s="14">
        <f>(H106/E106)*60</f>
        <v>0.72024694180862003</v>
      </c>
      <c r="J106" s="2">
        <v>16</v>
      </c>
      <c r="K106" s="2">
        <v>35</v>
      </c>
      <c r="L106" s="2">
        <v>132</v>
      </c>
      <c r="M106" s="2">
        <v>80</v>
      </c>
      <c r="N106" s="2">
        <v>3.08</v>
      </c>
      <c r="O106" s="2">
        <v>11.6</v>
      </c>
      <c r="P106" s="2">
        <f>(O106/E106)*60</f>
        <v>1.1935520749971418</v>
      </c>
      <c r="Q106" s="2">
        <v>435</v>
      </c>
      <c r="R106" s="2">
        <v>253</v>
      </c>
      <c r="S106" s="2">
        <v>182</v>
      </c>
      <c r="T106" s="7">
        <v>0.58199999999999996</v>
      </c>
      <c r="U106" s="2">
        <v>16</v>
      </c>
      <c r="V106" s="12">
        <v>30</v>
      </c>
      <c r="W106" s="2">
        <v>14</v>
      </c>
      <c r="X106" s="2">
        <v>13</v>
      </c>
      <c r="Y106" s="2">
        <v>15</v>
      </c>
      <c r="Z106" s="2">
        <f>Y106-X106</f>
        <v>2</v>
      </c>
      <c r="AA106" s="2">
        <f>(Z106/E106)*60</f>
        <v>0.20578484051674861</v>
      </c>
      <c r="AB106" s="2">
        <v>103</v>
      </c>
      <c r="AC106" s="2">
        <f>(AB106/E106)*60</f>
        <v>10.597919286612553</v>
      </c>
      <c r="AD106" s="2">
        <v>150</v>
      </c>
      <c r="AE106" s="2">
        <f>(AD106/E106)*60</f>
        <v>15.433863038756146</v>
      </c>
      <c r="AF106" s="2">
        <v>35.9</v>
      </c>
      <c r="AG106" s="2">
        <v>22.8</v>
      </c>
      <c r="AH106" s="2">
        <f>AF106-AG106</f>
        <v>13.099999999999998</v>
      </c>
      <c r="AI106" s="2">
        <v>35</v>
      </c>
      <c r="AJ106" s="2">
        <f>(AI106/E106)*60</f>
        <v>3.6012347090431005</v>
      </c>
      <c r="AK106" s="2">
        <v>14</v>
      </c>
      <c r="AL106" s="2">
        <v>16</v>
      </c>
      <c r="AM106" s="2">
        <f>(AL106/E106)*60</f>
        <v>1.6462787241339889</v>
      </c>
      <c r="AN106" s="2" t="s">
        <v>81</v>
      </c>
      <c r="AO106" s="2">
        <v>520</v>
      </c>
      <c r="AP106" s="2">
        <v>251</v>
      </c>
      <c r="AQ106" s="14">
        <f>(AP106/E106)*60</f>
        <v>25.82599748485195</v>
      </c>
    </row>
    <row r="107" spans="1:43" x14ac:dyDescent="0.35">
      <c r="A107" s="5" t="s">
        <v>135</v>
      </c>
      <c r="B107" s="5" t="s">
        <v>78</v>
      </c>
      <c r="C107" s="2" t="s">
        <v>31</v>
      </c>
      <c r="D107" s="2">
        <v>33</v>
      </c>
      <c r="E107" s="3">
        <v>577.06666666666672</v>
      </c>
      <c r="F107" s="2">
        <v>7</v>
      </c>
      <c r="G107" s="14">
        <f>(F107/E107)*60</f>
        <v>0.72781885397412194</v>
      </c>
      <c r="H107" s="2">
        <v>6</v>
      </c>
      <c r="I107" s="14">
        <f>(H107/E107)*60</f>
        <v>0.62384473197781887</v>
      </c>
      <c r="J107" s="2">
        <v>13</v>
      </c>
      <c r="K107" s="2">
        <v>17</v>
      </c>
      <c r="L107" s="2">
        <v>120</v>
      </c>
      <c r="M107" s="2">
        <v>67</v>
      </c>
      <c r="N107" s="2">
        <v>2.37</v>
      </c>
      <c r="O107" s="2">
        <v>9</v>
      </c>
      <c r="P107" s="2">
        <f>(O107/E107)*60</f>
        <v>0.93576709796672819</v>
      </c>
      <c r="Q107" s="2">
        <v>2</v>
      </c>
      <c r="R107" s="2">
        <v>0</v>
      </c>
      <c r="S107" s="2">
        <v>2</v>
      </c>
      <c r="T107" s="2">
        <v>0</v>
      </c>
      <c r="U107" s="2">
        <v>4</v>
      </c>
      <c r="V107" s="12">
        <v>22</v>
      </c>
      <c r="W107" s="2">
        <v>26</v>
      </c>
      <c r="X107" s="2">
        <v>6</v>
      </c>
      <c r="Y107" s="2">
        <v>8</v>
      </c>
      <c r="Z107" s="2">
        <f>Y107-X107</f>
        <v>2</v>
      </c>
      <c r="AA107" s="2">
        <f>(Z107/E107)*60</f>
        <v>0.20794824399260625</v>
      </c>
      <c r="AB107" s="2">
        <v>98</v>
      </c>
      <c r="AC107" s="2">
        <f>(AB107/E107)*60</f>
        <v>10.189463955637708</v>
      </c>
      <c r="AD107" s="2">
        <v>120</v>
      </c>
      <c r="AE107" s="2">
        <f>(AD107/E107)*60</f>
        <v>12.476894639556376</v>
      </c>
      <c r="AF107" s="2">
        <v>26.5</v>
      </c>
      <c r="AG107" s="2">
        <v>30.7</v>
      </c>
      <c r="AH107" s="2">
        <f>AF107-AG107</f>
        <v>-4.1999999999999993</v>
      </c>
      <c r="AI107" s="2">
        <v>17</v>
      </c>
      <c r="AJ107" s="2">
        <f>(AI107/E107)*60</f>
        <v>1.7675600739371533</v>
      </c>
      <c r="AK107" s="2">
        <v>12</v>
      </c>
      <c r="AL107" s="2">
        <v>14</v>
      </c>
      <c r="AM107" s="2">
        <f>(AL107/E107)*60</f>
        <v>1.4556377079482439</v>
      </c>
      <c r="AN107" s="2" t="s">
        <v>136</v>
      </c>
      <c r="AO107" s="2">
        <v>406</v>
      </c>
      <c r="AP107" s="2">
        <v>188</v>
      </c>
      <c r="AQ107" s="14">
        <f>(AP107/E107)*60</f>
        <v>19.547134935304989</v>
      </c>
    </row>
    <row r="108" spans="1:43" x14ac:dyDescent="0.35">
      <c r="A108" s="5" t="s">
        <v>273</v>
      </c>
      <c r="B108" s="5" t="s">
        <v>105</v>
      </c>
      <c r="C108" s="2" t="s">
        <v>39</v>
      </c>
      <c r="D108" s="2">
        <v>33</v>
      </c>
      <c r="E108" s="3">
        <v>509.38333333333333</v>
      </c>
      <c r="F108" s="2">
        <v>2</v>
      </c>
      <c r="G108" s="14">
        <f>(F108/E108)*60</f>
        <v>0.23557896803324282</v>
      </c>
      <c r="H108" s="2">
        <v>2</v>
      </c>
      <c r="I108" s="14">
        <f>(H108/E108)*60</f>
        <v>0.23557896803324282</v>
      </c>
      <c r="J108" s="2">
        <v>4</v>
      </c>
      <c r="K108" s="2">
        <v>1</v>
      </c>
      <c r="L108" s="2">
        <v>58</v>
      </c>
      <c r="M108" s="2">
        <v>22</v>
      </c>
      <c r="N108" s="2">
        <v>0.55000000000000004</v>
      </c>
      <c r="O108" s="2">
        <v>1.45</v>
      </c>
      <c r="P108" s="2">
        <f>(O108/E108)*60</f>
        <v>0.17079475182410103</v>
      </c>
      <c r="Q108" s="2">
        <v>0</v>
      </c>
      <c r="R108" s="2">
        <v>0</v>
      </c>
      <c r="S108" s="2">
        <v>0</v>
      </c>
      <c r="T108" s="2">
        <v>0</v>
      </c>
      <c r="U108" s="2">
        <v>6</v>
      </c>
      <c r="V108" s="12">
        <v>12</v>
      </c>
      <c r="W108" s="2">
        <v>18</v>
      </c>
      <c r="X108" s="2">
        <v>10</v>
      </c>
      <c r="Y108" s="2">
        <v>1</v>
      </c>
      <c r="Z108" s="2">
        <f>Y108-X108</f>
        <v>-9</v>
      </c>
      <c r="AA108" s="2">
        <f>(Z108/E108)*60</f>
        <v>-1.0601053561495926</v>
      </c>
      <c r="AB108" s="2">
        <v>183</v>
      </c>
      <c r="AC108" s="2">
        <f>(AB108/E108)*60</f>
        <v>21.555475575041719</v>
      </c>
      <c r="AD108" s="2">
        <v>101</v>
      </c>
      <c r="AE108" s="2">
        <f>(AD108/E108)*60</f>
        <v>11.896737885678762</v>
      </c>
      <c r="AF108" s="2">
        <v>21.2</v>
      </c>
      <c r="AG108" s="2">
        <v>27.8</v>
      </c>
      <c r="AH108" s="2">
        <f>AF108-AG108</f>
        <v>-6.6000000000000014</v>
      </c>
      <c r="AI108" s="2">
        <v>1</v>
      </c>
      <c r="AJ108" s="2">
        <f>(AI108/E108)*60</f>
        <v>0.11778948401662141</v>
      </c>
      <c r="AK108" s="2">
        <v>6</v>
      </c>
      <c r="AL108" s="2">
        <v>10</v>
      </c>
      <c r="AM108" s="2">
        <f>(AL108/E108)*60</f>
        <v>1.1778948401662142</v>
      </c>
      <c r="AN108" s="2" t="s">
        <v>198</v>
      </c>
      <c r="AO108" s="2">
        <v>277</v>
      </c>
      <c r="AP108" s="2">
        <v>141</v>
      </c>
      <c r="AQ108" s="14">
        <f>(AP108/E108)*60</f>
        <v>16.608317246343617</v>
      </c>
    </row>
    <row r="109" spans="1:43" x14ac:dyDescent="0.35">
      <c r="A109" s="5" t="s">
        <v>292</v>
      </c>
      <c r="B109" s="5" t="s">
        <v>34</v>
      </c>
      <c r="C109" s="2" t="s">
        <v>31</v>
      </c>
      <c r="D109" s="2">
        <v>33</v>
      </c>
      <c r="E109" s="3">
        <v>342.56666666666666</v>
      </c>
      <c r="F109" s="2">
        <v>1</v>
      </c>
      <c r="G109" s="14">
        <f>(F109/E109)*60</f>
        <v>0.17514838960786222</v>
      </c>
      <c r="H109" s="2">
        <v>5</v>
      </c>
      <c r="I109" s="14">
        <f>(H109/E109)*60</f>
        <v>0.87574194803931116</v>
      </c>
      <c r="J109" s="2">
        <v>6</v>
      </c>
      <c r="K109" s="2">
        <v>6</v>
      </c>
      <c r="L109" s="2">
        <v>24</v>
      </c>
      <c r="M109" s="2">
        <v>16</v>
      </c>
      <c r="N109" s="2">
        <v>0.94</v>
      </c>
      <c r="O109" s="2">
        <v>1.56</v>
      </c>
      <c r="P109" s="2">
        <f>(O109/E109)*60</f>
        <v>0.27323148778826511</v>
      </c>
      <c r="Q109" s="2">
        <v>35</v>
      </c>
      <c r="R109" s="2">
        <v>14</v>
      </c>
      <c r="S109" s="2">
        <v>21</v>
      </c>
      <c r="T109" s="8">
        <v>0.4</v>
      </c>
      <c r="U109" s="2">
        <v>5</v>
      </c>
      <c r="V109" s="12">
        <v>10</v>
      </c>
      <c r="W109" s="2">
        <v>15</v>
      </c>
      <c r="X109" s="2">
        <v>1</v>
      </c>
      <c r="Y109" s="2">
        <v>5</v>
      </c>
      <c r="Z109" s="2">
        <f>Y109-X109</f>
        <v>4</v>
      </c>
      <c r="AA109" s="2">
        <f>(Z109/E109)*60</f>
        <v>0.70059355843144888</v>
      </c>
      <c r="AB109" s="2">
        <v>51</v>
      </c>
      <c r="AC109" s="2">
        <f>(AB109/E109)*60</f>
        <v>8.9325678700009732</v>
      </c>
      <c r="AD109" s="2">
        <v>92</v>
      </c>
      <c r="AE109" s="2">
        <f>(AD109/E109)*60</f>
        <v>16.113651843923325</v>
      </c>
      <c r="AF109" s="2">
        <v>8.3000000000000007</v>
      </c>
      <c r="AG109" s="2">
        <v>18.3</v>
      </c>
      <c r="AH109" s="2">
        <f>AF109-AG109</f>
        <v>-10</v>
      </c>
      <c r="AI109" s="2">
        <v>6</v>
      </c>
      <c r="AJ109" s="2">
        <f>(AI109/E109)*60</f>
        <v>1.0508903376471734</v>
      </c>
      <c r="AK109" s="2">
        <v>2</v>
      </c>
      <c r="AL109" s="2">
        <v>2</v>
      </c>
      <c r="AM109" s="2">
        <f>(AL109/E109)*60</f>
        <v>0.35029677921572444</v>
      </c>
      <c r="AN109" s="2" t="s">
        <v>279</v>
      </c>
      <c r="AO109" s="2">
        <v>202</v>
      </c>
      <c r="AP109" s="2">
        <v>90</v>
      </c>
      <c r="AQ109" s="14">
        <f>(AP109/E109)*60</f>
        <v>15.763355064707598</v>
      </c>
    </row>
    <row r="110" spans="1:43" x14ac:dyDescent="0.35">
      <c r="A110" s="5" t="s">
        <v>304</v>
      </c>
      <c r="B110" s="5" t="s">
        <v>122</v>
      </c>
      <c r="C110" s="2" t="s">
        <v>31</v>
      </c>
      <c r="D110" s="2">
        <v>33</v>
      </c>
      <c r="E110" s="3">
        <v>532.20000000000005</v>
      </c>
      <c r="F110" s="2">
        <v>3</v>
      </c>
      <c r="G110" s="14">
        <f>(F110/E110)*60</f>
        <v>0.33821871476888388</v>
      </c>
      <c r="H110" s="2">
        <v>3</v>
      </c>
      <c r="I110" s="14">
        <f>(H110/E110)*60</f>
        <v>0.33821871476888388</v>
      </c>
      <c r="J110" s="2">
        <v>6</v>
      </c>
      <c r="K110" s="2">
        <v>15</v>
      </c>
      <c r="L110" s="2">
        <v>103</v>
      </c>
      <c r="M110" s="2">
        <v>67</v>
      </c>
      <c r="N110" s="2">
        <v>1.97</v>
      </c>
      <c r="O110" s="2">
        <v>6.8</v>
      </c>
      <c r="P110" s="2">
        <f>(O110/E110)*60</f>
        <v>0.76662908680947006</v>
      </c>
      <c r="Q110" s="2">
        <v>50</v>
      </c>
      <c r="R110" s="2">
        <v>23</v>
      </c>
      <c r="S110" s="2">
        <v>27</v>
      </c>
      <c r="T110" s="8">
        <v>0.46</v>
      </c>
      <c r="U110" s="2">
        <v>16</v>
      </c>
      <c r="V110" s="12">
        <v>9</v>
      </c>
      <c r="W110" s="2">
        <v>25</v>
      </c>
      <c r="X110" s="2">
        <v>17</v>
      </c>
      <c r="Y110" s="2">
        <v>15</v>
      </c>
      <c r="Z110" s="2">
        <f>Y110-X110</f>
        <v>-2</v>
      </c>
      <c r="AA110" s="2">
        <f>(Z110/E110)*60</f>
        <v>-0.22547914317925591</v>
      </c>
      <c r="AB110" s="2">
        <v>70</v>
      </c>
      <c r="AC110" s="2">
        <f>(AB110/E110)*60</f>
        <v>7.8917700112739562</v>
      </c>
      <c r="AD110" s="2">
        <v>135</v>
      </c>
      <c r="AE110" s="2">
        <f>(AD110/E110)*60</f>
        <v>15.219842164599772</v>
      </c>
      <c r="AF110" s="2">
        <v>24.9</v>
      </c>
      <c r="AG110" s="2">
        <v>30.6</v>
      </c>
      <c r="AH110" s="2">
        <f>AF110-AG110</f>
        <v>-5.7000000000000028</v>
      </c>
      <c r="AI110" s="2">
        <v>15</v>
      </c>
      <c r="AJ110" s="2">
        <f>(AI110/E110)*60</f>
        <v>1.6910935738444193</v>
      </c>
      <c r="AK110" s="2">
        <v>14</v>
      </c>
      <c r="AL110" s="2">
        <v>21</v>
      </c>
      <c r="AM110" s="2">
        <f>(AL110/E110)*60</f>
        <v>2.367531003382187</v>
      </c>
      <c r="AN110" s="2" t="s">
        <v>305</v>
      </c>
      <c r="AO110" s="2">
        <v>280</v>
      </c>
      <c r="AP110" s="2">
        <v>131</v>
      </c>
      <c r="AQ110" s="14">
        <f>(AP110/E110)*60</f>
        <v>14.768883878241262</v>
      </c>
    </row>
    <row r="111" spans="1:43" x14ac:dyDescent="0.35">
      <c r="A111" s="5" t="s">
        <v>301</v>
      </c>
      <c r="B111" s="5" t="s">
        <v>46</v>
      </c>
      <c r="C111" s="2" t="s">
        <v>31</v>
      </c>
      <c r="D111" s="2">
        <v>33</v>
      </c>
      <c r="E111" s="3">
        <v>417.76666666666665</v>
      </c>
      <c r="F111" s="2">
        <v>2</v>
      </c>
      <c r="G111" s="14">
        <f>(F111/E111)*60</f>
        <v>0.28724168195962657</v>
      </c>
      <c r="H111" s="2">
        <v>3</v>
      </c>
      <c r="I111" s="14">
        <f>(H111/E111)*60</f>
        <v>0.43086252293943988</v>
      </c>
      <c r="J111" s="2">
        <v>5</v>
      </c>
      <c r="K111" s="2">
        <v>11</v>
      </c>
      <c r="L111" s="2">
        <v>87</v>
      </c>
      <c r="M111" s="2">
        <v>59</v>
      </c>
      <c r="N111" s="2">
        <v>1.93</v>
      </c>
      <c r="O111" s="2">
        <v>5.7</v>
      </c>
      <c r="P111" s="2">
        <f>(O111/E111)*60</f>
        <v>0.81863879358493574</v>
      </c>
      <c r="Q111" s="2">
        <v>0</v>
      </c>
      <c r="R111" s="2">
        <v>0</v>
      </c>
      <c r="S111" s="2">
        <v>0</v>
      </c>
      <c r="T111" s="2">
        <v>0</v>
      </c>
      <c r="U111" s="2">
        <v>2</v>
      </c>
      <c r="V111" s="12">
        <v>9</v>
      </c>
      <c r="W111" s="2">
        <v>11</v>
      </c>
      <c r="X111" s="2">
        <v>1</v>
      </c>
      <c r="Y111" s="2">
        <v>8</v>
      </c>
      <c r="Z111" s="2">
        <f>Y111-X111</f>
        <v>7</v>
      </c>
      <c r="AA111" s="2">
        <f>(Z111/E111)*60</f>
        <v>1.0053458868586931</v>
      </c>
      <c r="AB111" s="2">
        <v>55</v>
      </c>
      <c r="AC111" s="2">
        <f>(AB111/E111)*60</f>
        <v>7.8991462538897315</v>
      </c>
      <c r="AD111" s="2">
        <v>107</v>
      </c>
      <c r="AE111" s="2">
        <f>(AD111/E111)*60</f>
        <v>15.367429984840022</v>
      </c>
      <c r="AF111" s="2">
        <v>18.2</v>
      </c>
      <c r="AG111" s="2">
        <v>20.399999999999999</v>
      </c>
      <c r="AH111" s="2">
        <f>AF111-AG111</f>
        <v>-2.1999999999999993</v>
      </c>
      <c r="AI111" s="2">
        <v>11</v>
      </c>
      <c r="AJ111" s="2">
        <f>(AI111/E111)*60</f>
        <v>1.5798292507779461</v>
      </c>
      <c r="AK111" s="2">
        <v>9</v>
      </c>
      <c r="AL111" s="2">
        <v>10</v>
      </c>
      <c r="AM111" s="2">
        <f>(AL111/E111)*60</f>
        <v>1.4362084097981329</v>
      </c>
      <c r="AN111" s="2" t="s">
        <v>211</v>
      </c>
      <c r="AO111" s="2">
        <v>199</v>
      </c>
      <c r="AP111" s="2">
        <v>91</v>
      </c>
      <c r="AQ111" s="14">
        <f>(AP111/E111)*60</f>
        <v>13.069496529163009</v>
      </c>
    </row>
    <row r="112" spans="1:43" x14ac:dyDescent="0.35">
      <c r="A112" s="5" t="s">
        <v>177</v>
      </c>
      <c r="B112" s="5" t="s">
        <v>46</v>
      </c>
      <c r="C112" s="2" t="s">
        <v>31</v>
      </c>
      <c r="D112" s="2">
        <v>33</v>
      </c>
      <c r="E112" s="3">
        <v>418.93333333333334</v>
      </c>
      <c r="F112" s="2">
        <v>3</v>
      </c>
      <c r="G112" s="14">
        <f>(F112/E112)*60</f>
        <v>0.42966263526416298</v>
      </c>
      <c r="H112" s="2">
        <v>5</v>
      </c>
      <c r="I112" s="14">
        <f>(H112/E112)*60</f>
        <v>0.71610439210693821</v>
      </c>
      <c r="J112" s="2">
        <v>8</v>
      </c>
      <c r="K112" s="2">
        <v>4</v>
      </c>
      <c r="L112" s="2">
        <v>60</v>
      </c>
      <c r="M112" s="2">
        <v>37</v>
      </c>
      <c r="N112" s="2">
        <v>1.42</v>
      </c>
      <c r="O112" s="2">
        <v>3.26</v>
      </c>
      <c r="P112" s="2">
        <f>(O112/E112)*60</f>
        <v>0.46690006365372372</v>
      </c>
      <c r="Q112" s="2">
        <v>5</v>
      </c>
      <c r="R112" s="2">
        <v>1</v>
      </c>
      <c r="S112" s="2">
        <v>4</v>
      </c>
      <c r="T112" s="8">
        <v>0.2</v>
      </c>
      <c r="U112" s="2">
        <v>7</v>
      </c>
      <c r="V112" s="12">
        <v>19</v>
      </c>
      <c r="W112" s="2">
        <v>12</v>
      </c>
      <c r="X112" s="2">
        <v>2</v>
      </c>
      <c r="Y112" s="2">
        <v>2</v>
      </c>
      <c r="Z112" s="2">
        <f>Y112-X112</f>
        <v>0</v>
      </c>
      <c r="AA112" s="2">
        <f>(Z112/E112)*60</f>
        <v>0</v>
      </c>
      <c r="AB112" s="2">
        <v>56</v>
      </c>
      <c r="AC112" s="2">
        <f>(AB112/E112)*60</f>
        <v>8.0203691915977071</v>
      </c>
      <c r="AD112" s="2">
        <v>92</v>
      </c>
      <c r="AE112" s="2">
        <f>(AD112/E112)*60</f>
        <v>13.176320814767664</v>
      </c>
      <c r="AF112" s="2">
        <v>17</v>
      </c>
      <c r="AG112" s="2">
        <v>25</v>
      </c>
      <c r="AH112" s="2">
        <f>AF112-AG112</f>
        <v>-8</v>
      </c>
      <c r="AI112" s="2">
        <v>4</v>
      </c>
      <c r="AJ112" s="2">
        <f>(AI112/E112)*60</f>
        <v>0.57288351368555057</v>
      </c>
      <c r="AK112" s="2">
        <v>4</v>
      </c>
      <c r="AL112" s="2">
        <v>11</v>
      </c>
      <c r="AM112" s="2">
        <f>(AL112/E112)*60</f>
        <v>1.5754296626352642</v>
      </c>
      <c r="AN112" s="2" t="s">
        <v>178</v>
      </c>
      <c r="AO112" s="2">
        <v>202</v>
      </c>
      <c r="AP112" s="2">
        <v>90</v>
      </c>
      <c r="AQ112" s="14">
        <f>(AP112/E112)*60</f>
        <v>12.889879057924889</v>
      </c>
    </row>
    <row r="113" spans="1:43" x14ac:dyDescent="0.35">
      <c r="A113" s="5" t="s">
        <v>137</v>
      </c>
      <c r="B113" s="5" t="s">
        <v>78</v>
      </c>
      <c r="C113" s="2" t="s">
        <v>39</v>
      </c>
      <c r="D113" s="2">
        <v>33</v>
      </c>
      <c r="E113" s="3">
        <v>573.4666666666667</v>
      </c>
      <c r="F113" s="2">
        <v>0</v>
      </c>
      <c r="G113" s="14">
        <f>(F113/E113)*60</f>
        <v>0</v>
      </c>
      <c r="H113" s="2">
        <v>6</v>
      </c>
      <c r="I113" s="14">
        <f>(H113/E113)*60</f>
        <v>0.62776098581725182</v>
      </c>
      <c r="J113" s="2">
        <v>6</v>
      </c>
      <c r="K113" s="2">
        <v>2</v>
      </c>
      <c r="L113" s="2">
        <v>53</v>
      </c>
      <c r="M113" s="2">
        <v>22</v>
      </c>
      <c r="N113" s="2">
        <v>1.1399999999999999</v>
      </c>
      <c r="O113" s="2">
        <v>2.15</v>
      </c>
      <c r="P113" s="2">
        <f>(O113/E113)*60</f>
        <v>0.22494768658451519</v>
      </c>
      <c r="Q113" s="2">
        <v>0</v>
      </c>
      <c r="R113" s="2">
        <v>0</v>
      </c>
      <c r="S113" s="2">
        <v>0</v>
      </c>
      <c r="T113" s="2">
        <v>0</v>
      </c>
      <c r="U113" s="2">
        <v>1</v>
      </c>
      <c r="V113" s="12">
        <v>22</v>
      </c>
      <c r="W113" s="2">
        <v>23</v>
      </c>
      <c r="X113" s="2">
        <v>7</v>
      </c>
      <c r="Y113" s="2">
        <v>2</v>
      </c>
      <c r="Z113" s="2">
        <f>Y113-X113</f>
        <v>-5</v>
      </c>
      <c r="AA113" s="2">
        <f>(Z113/E113)*60</f>
        <v>-0.52313415484770986</v>
      </c>
      <c r="AB113" s="2">
        <v>149</v>
      </c>
      <c r="AC113" s="2">
        <f>(AB113/E113)*60</f>
        <v>15.589397814461751</v>
      </c>
      <c r="AD113" s="2">
        <v>112</v>
      </c>
      <c r="AE113" s="2">
        <f>(AD113/E113)*60</f>
        <v>11.7182050685887</v>
      </c>
      <c r="AF113" s="2">
        <v>26.1</v>
      </c>
      <c r="AG113" s="2">
        <v>32.700000000000003</v>
      </c>
      <c r="AH113" s="2">
        <f>AF113-AG113</f>
        <v>-6.6000000000000014</v>
      </c>
      <c r="AI113" s="2">
        <v>2</v>
      </c>
      <c r="AJ113" s="2">
        <f>(AI113/E113)*60</f>
        <v>0.20925366193908393</v>
      </c>
      <c r="AK113" s="2">
        <v>10</v>
      </c>
      <c r="AL113" s="2">
        <v>18</v>
      </c>
      <c r="AM113" s="2">
        <f>(AL113/E113)*60</f>
        <v>1.8832829574517551</v>
      </c>
      <c r="AN113" s="2" t="s">
        <v>138</v>
      </c>
      <c r="AO113" s="2">
        <v>216</v>
      </c>
      <c r="AP113" s="2">
        <v>109</v>
      </c>
      <c r="AQ113" s="14">
        <f>(AP113/E113)*60</f>
        <v>11.404324575680075</v>
      </c>
    </row>
    <row r="114" spans="1:43" x14ac:dyDescent="0.35">
      <c r="A114" s="5" t="s">
        <v>337</v>
      </c>
      <c r="B114" s="5" t="s">
        <v>46</v>
      </c>
      <c r="C114" s="2" t="s">
        <v>31</v>
      </c>
      <c r="D114" s="2">
        <v>33</v>
      </c>
      <c r="E114" s="3">
        <v>201.83333333333334</v>
      </c>
      <c r="F114" s="2">
        <v>1</v>
      </c>
      <c r="G114" s="14">
        <f>(F114/E114)*60</f>
        <v>0.29727497935590419</v>
      </c>
      <c r="H114" s="2">
        <v>1</v>
      </c>
      <c r="I114" s="14">
        <f>(H114/E114)*60</f>
        <v>0.29727497935590419</v>
      </c>
      <c r="J114" s="2">
        <v>2</v>
      </c>
      <c r="K114" s="2">
        <v>3</v>
      </c>
      <c r="L114" s="2">
        <v>19</v>
      </c>
      <c r="M114" s="2">
        <v>10</v>
      </c>
      <c r="N114" s="2">
        <v>0.86</v>
      </c>
      <c r="O114" s="2">
        <v>1.29</v>
      </c>
      <c r="P114" s="2">
        <f>(O114/E114)*60</f>
        <v>0.38348472336911643</v>
      </c>
      <c r="Q114" s="2">
        <v>0</v>
      </c>
      <c r="R114" s="2">
        <v>0</v>
      </c>
      <c r="S114" s="2">
        <v>0</v>
      </c>
      <c r="T114" s="2">
        <v>0</v>
      </c>
      <c r="U114" s="2">
        <v>1</v>
      </c>
      <c r="V114" s="12">
        <v>6</v>
      </c>
      <c r="W114" s="2">
        <v>5</v>
      </c>
      <c r="X114" s="2">
        <v>4</v>
      </c>
      <c r="Y114" s="2">
        <v>1</v>
      </c>
      <c r="Z114" s="2">
        <f>Y114-X114</f>
        <v>-3</v>
      </c>
      <c r="AA114" s="2">
        <f>(Z114/E114)*60</f>
        <v>-0.89182493806771257</v>
      </c>
      <c r="AB114" s="2">
        <v>26</v>
      </c>
      <c r="AC114" s="2">
        <f>(AB114/E114)*60</f>
        <v>7.729149463253508</v>
      </c>
      <c r="AD114" s="2">
        <v>33</v>
      </c>
      <c r="AE114" s="2">
        <f>(AD114/E114)*60</f>
        <v>9.8100743187448387</v>
      </c>
      <c r="AF114" s="2">
        <v>8.1999999999999993</v>
      </c>
      <c r="AG114" s="2">
        <v>9.4</v>
      </c>
      <c r="AH114" s="2">
        <f>AF114-AG114</f>
        <v>-1.2000000000000011</v>
      </c>
      <c r="AI114" s="2">
        <v>3</v>
      </c>
      <c r="AJ114" s="2">
        <f>(AI114/E114)*60</f>
        <v>0.89182493806771257</v>
      </c>
      <c r="AK114" s="2">
        <v>0</v>
      </c>
      <c r="AL114" s="2">
        <v>1</v>
      </c>
      <c r="AM114" s="2">
        <f>(AL114/E114)*60</f>
        <v>0.29727497935590419</v>
      </c>
      <c r="AN114" s="2" t="s">
        <v>338</v>
      </c>
      <c r="AO114" s="2">
        <v>90</v>
      </c>
      <c r="AP114" s="2">
        <v>36</v>
      </c>
      <c r="AQ114" s="14">
        <f>(AP114/E114)*60</f>
        <v>10.701899256812551</v>
      </c>
    </row>
    <row r="115" spans="1:43" x14ac:dyDescent="0.35">
      <c r="A115" s="5" t="s">
        <v>189</v>
      </c>
      <c r="B115" s="5" t="s">
        <v>108</v>
      </c>
      <c r="C115" s="2" t="s">
        <v>31</v>
      </c>
      <c r="D115" s="2">
        <v>33</v>
      </c>
      <c r="E115" s="3">
        <v>486.86666666666667</v>
      </c>
      <c r="F115" s="2">
        <v>6</v>
      </c>
      <c r="G115" s="14">
        <f>(F115/E115)*60</f>
        <v>0.73942215527865263</v>
      </c>
      <c r="H115" s="2">
        <v>6</v>
      </c>
      <c r="I115" s="14">
        <f>(H115/E115)*60</f>
        <v>0.73942215527865263</v>
      </c>
      <c r="J115" s="2">
        <v>12</v>
      </c>
      <c r="K115" s="2">
        <v>14</v>
      </c>
      <c r="L115" s="2">
        <v>69</v>
      </c>
      <c r="M115" s="2">
        <v>45</v>
      </c>
      <c r="N115" s="2">
        <v>2.19</v>
      </c>
      <c r="O115" s="2">
        <v>5.2</v>
      </c>
      <c r="P115" s="2">
        <f>(O115/E115)*60</f>
        <v>0.64083253457483225</v>
      </c>
      <c r="Q115" s="2">
        <v>165</v>
      </c>
      <c r="R115" s="2">
        <v>67</v>
      </c>
      <c r="S115" s="2">
        <v>98</v>
      </c>
      <c r="T115" s="7">
        <v>0.40600000000000003</v>
      </c>
      <c r="U115" s="2">
        <v>10</v>
      </c>
      <c r="V115" s="12">
        <v>18</v>
      </c>
      <c r="W115" s="2">
        <v>28</v>
      </c>
      <c r="X115" s="2">
        <v>2</v>
      </c>
      <c r="Y115" s="2">
        <v>4</v>
      </c>
      <c r="Z115" s="2">
        <f>Y115-X115</f>
        <v>2</v>
      </c>
      <c r="AA115" s="2">
        <f>(Z115/E115)*60</f>
        <v>0.24647405175955089</v>
      </c>
      <c r="AB115" s="2">
        <v>59</v>
      </c>
      <c r="AC115" s="2">
        <f>(AB115/E115)*60</f>
        <v>7.2709845269067506</v>
      </c>
      <c r="AD115" s="2">
        <v>96</v>
      </c>
      <c r="AE115" s="2">
        <f>(AD115/E115)*60</f>
        <v>11.830754484458442</v>
      </c>
      <c r="AF115" s="2">
        <v>15.9</v>
      </c>
      <c r="AG115" s="2">
        <v>39.5</v>
      </c>
      <c r="AH115" s="2">
        <f>AF115-AG115</f>
        <v>-23.6</v>
      </c>
      <c r="AI115" s="2">
        <v>14</v>
      </c>
      <c r="AJ115" s="2">
        <f>(AI115/E115)*60</f>
        <v>1.7253183623168562</v>
      </c>
      <c r="AK115" s="2">
        <v>1</v>
      </c>
      <c r="AL115" s="2">
        <v>7</v>
      </c>
      <c r="AM115" s="2">
        <f>(AL115/E115)*60</f>
        <v>0.8626591811584281</v>
      </c>
      <c r="AN115" s="2" t="s">
        <v>190</v>
      </c>
      <c r="AO115" s="2">
        <v>184</v>
      </c>
      <c r="AP115" s="2">
        <v>86</v>
      </c>
      <c r="AQ115" s="14">
        <f>(AP115/E115)*60</f>
        <v>10.598384225660688</v>
      </c>
    </row>
    <row r="116" spans="1:43" x14ac:dyDescent="0.35">
      <c r="A116" s="5" t="s">
        <v>349</v>
      </c>
      <c r="B116" s="5" t="s">
        <v>105</v>
      </c>
      <c r="C116" s="2" t="s">
        <v>31</v>
      </c>
      <c r="D116" s="2">
        <v>33</v>
      </c>
      <c r="E116" s="3">
        <v>328.48333333333335</v>
      </c>
      <c r="F116" s="2">
        <v>2</v>
      </c>
      <c r="G116" s="14">
        <f>(F116/E116)*60</f>
        <v>0.36531533817037903</v>
      </c>
      <c r="H116" s="2">
        <v>1</v>
      </c>
      <c r="I116" s="14">
        <f>(H116/E116)*60</f>
        <v>0.18265766908518952</v>
      </c>
      <c r="J116" s="2">
        <v>3</v>
      </c>
      <c r="K116" s="2">
        <v>6</v>
      </c>
      <c r="L116" s="2">
        <v>26</v>
      </c>
      <c r="M116" s="2">
        <v>18</v>
      </c>
      <c r="N116" s="2">
        <v>1.51</v>
      </c>
      <c r="O116" s="2">
        <v>2.52</v>
      </c>
      <c r="P116" s="2">
        <f>(O116/E116)*60</f>
        <v>0.46029732609467755</v>
      </c>
      <c r="Q116" s="2">
        <v>135</v>
      </c>
      <c r="R116" s="2">
        <v>48</v>
      </c>
      <c r="S116" s="2">
        <v>87</v>
      </c>
      <c r="T116" s="7">
        <v>0.35599999999999998</v>
      </c>
      <c r="U116" s="2">
        <v>8</v>
      </c>
      <c r="V116" s="12">
        <v>5</v>
      </c>
      <c r="W116" s="2">
        <v>13</v>
      </c>
      <c r="X116" s="2">
        <v>2</v>
      </c>
      <c r="Y116" s="2">
        <v>1</v>
      </c>
      <c r="Z116" s="2">
        <f>Y116-X116</f>
        <v>-1</v>
      </c>
      <c r="AA116" s="2">
        <f>(Z116/E116)*60</f>
        <v>-0.18265766908518952</v>
      </c>
      <c r="AB116" s="2">
        <v>39</v>
      </c>
      <c r="AC116" s="2">
        <f>(AB116/E116)*60</f>
        <v>7.1236490943223902</v>
      </c>
      <c r="AD116" s="2">
        <v>74</v>
      </c>
      <c r="AE116" s="2">
        <f>(AD116/E116)*60</f>
        <v>13.516667512304023</v>
      </c>
      <c r="AF116" s="2">
        <v>8.3000000000000007</v>
      </c>
      <c r="AG116" s="2">
        <v>19.899999999999999</v>
      </c>
      <c r="AH116" s="2">
        <f>AF116-AG116</f>
        <v>-11.599999999999998</v>
      </c>
      <c r="AI116" s="2">
        <v>6</v>
      </c>
      <c r="AJ116" s="2">
        <f>(AI116/E116)*60</f>
        <v>1.095946014511137</v>
      </c>
      <c r="AK116" s="2">
        <v>2</v>
      </c>
      <c r="AL116" s="2">
        <v>3</v>
      </c>
      <c r="AM116" s="2">
        <f>(AL116/E116)*60</f>
        <v>0.54797300725556852</v>
      </c>
      <c r="AN116" s="2" t="s">
        <v>318</v>
      </c>
      <c r="AO116" s="2">
        <v>157</v>
      </c>
      <c r="AP116" s="2">
        <v>57</v>
      </c>
      <c r="AQ116" s="14">
        <f>(AP116/E116)*60</f>
        <v>10.411487137855801</v>
      </c>
    </row>
    <row r="117" spans="1:43" x14ac:dyDescent="0.35">
      <c r="A117" s="5" t="s">
        <v>33</v>
      </c>
      <c r="B117" s="5" t="s">
        <v>34</v>
      </c>
      <c r="C117" s="2" t="s">
        <v>31</v>
      </c>
      <c r="D117" s="2">
        <v>32</v>
      </c>
      <c r="E117" s="3">
        <v>574.65</v>
      </c>
      <c r="F117" s="2">
        <v>10</v>
      </c>
      <c r="G117" s="14">
        <f>(F117/E117)*60</f>
        <v>1.0441138084051163</v>
      </c>
      <c r="H117" s="2">
        <v>19</v>
      </c>
      <c r="I117" s="14">
        <f>(H117/E117)*60</f>
        <v>1.9838162359697207</v>
      </c>
      <c r="J117" s="2">
        <v>29</v>
      </c>
      <c r="K117" s="2">
        <v>34</v>
      </c>
      <c r="L117" s="2">
        <v>141</v>
      </c>
      <c r="M117" s="2">
        <v>91</v>
      </c>
      <c r="N117" s="2">
        <v>2.72</v>
      </c>
      <c r="O117" s="2">
        <v>11.5</v>
      </c>
      <c r="P117" s="2">
        <f>(O117/E117)*60</f>
        <v>1.2007308796658835</v>
      </c>
      <c r="Q117" s="2">
        <v>1</v>
      </c>
      <c r="R117" s="2">
        <v>1</v>
      </c>
      <c r="S117" s="2">
        <v>0</v>
      </c>
      <c r="T117" s="8">
        <v>1</v>
      </c>
      <c r="U117" s="2">
        <v>29</v>
      </c>
      <c r="V117" s="12">
        <v>43</v>
      </c>
      <c r="W117" s="2">
        <v>14</v>
      </c>
      <c r="X117" s="2">
        <v>8</v>
      </c>
      <c r="Y117" s="2">
        <v>9</v>
      </c>
      <c r="Z117" s="2">
        <f>Y117-X117</f>
        <v>1</v>
      </c>
      <c r="AA117" s="2">
        <f>(Z117/E117)*60</f>
        <v>0.10441138084051162</v>
      </c>
      <c r="AB117" s="2">
        <v>132</v>
      </c>
      <c r="AC117" s="2">
        <f>(AB117/E117)*60</f>
        <v>13.782302270947534</v>
      </c>
      <c r="AD117" s="2">
        <v>125</v>
      </c>
      <c r="AE117" s="2">
        <f>(AD117/E117)*60</f>
        <v>13.051422605063953</v>
      </c>
      <c r="AF117" s="2">
        <v>43.7</v>
      </c>
      <c r="AG117" s="2">
        <v>17.100000000000001</v>
      </c>
      <c r="AH117" s="2">
        <f>AF117-AG117</f>
        <v>26.6</v>
      </c>
      <c r="AI117" s="2">
        <v>34</v>
      </c>
      <c r="AJ117" s="2">
        <f>(AI117/E117)*60</f>
        <v>3.5499869485773954</v>
      </c>
      <c r="AK117" s="2">
        <v>14</v>
      </c>
      <c r="AL117" s="2">
        <v>44</v>
      </c>
      <c r="AM117" s="2">
        <f>(AL117/E117)*60</f>
        <v>4.5941007569825114</v>
      </c>
      <c r="AN117" s="2" t="s">
        <v>35</v>
      </c>
      <c r="AO117" s="2">
        <v>435</v>
      </c>
      <c r="AP117" s="2">
        <v>253</v>
      </c>
      <c r="AQ117" s="14">
        <f>(AP117/E117)*60</f>
        <v>26.41607935264944</v>
      </c>
    </row>
    <row r="118" spans="1:43" x14ac:dyDescent="0.35">
      <c r="A118" s="5" t="s">
        <v>119</v>
      </c>
      <c r="B118" s="5" t="s">
        <v>60</v>
      </c>
      <c r="C118" s="2" t="s">
        <v>39</v>
      </c>
      <c r="D118" s="2">
        <v>32</v>
      </c>
      <c r="E118" s="3">
        <v>586.1</v>
      </c>
      <c r="F118" s="2">
        <v>4</v>
      </c>
      <c r="G118" s="14">
        <f>(F118/E118)*60</f>
        <v>0.40948643576181537</v>
      </c>
      <c r="H118" s="2">
        <v>7</v>
      </c>
      <c r="I118" s="14">
        <f>(H118/E118)*60</f>
        <v>0.71660126258317691</v>
      </c>
      <c r="J118" s="2">
        <v>11</v>
      </c>
      <c r="K118" s="2">
        <v>5</v>
      </c>
      <c r="L118" s="2">
        <v>120</v>
      </c>
      <c r="M118" s="2">
        <v>54</v>
      </c>
      <c r="N118" s="2">
        <v>0.93</v>
      </c>
      <c r="O118" s="2">
        <v>3.94</v>
      </c>
      <c r="P118" s="2">
        <f>(O118/E118)*60</f>
        <v>0.40334413922538814</v>
      </c>
      <c r="Q118" s="2">
        <v>0</v>
      </c>
      <c r="R118" s="2">
        <v>0</v>
      </c>
      <c r="S118" s="2">
        <v>0</v>
      </c>
      <c r="T118" s="2">
        <v>0</v>
      </c>
      <c r="U118" s="2">
        <v>5</v>
      </c>
      <c r="V118" s="12">
        <v>24</v>
      </c>
      <c r="W118" s="2">
        <v>19</v>
      </c>
      <c r="X118" s="2">
        <v>11</v>
      </c>
      <c r="Y118" s="2">
        <v>1</v>
      </c>
      <c r="Z118" s="2">
        <f>Y118-X118</f>
        <v>-10</v>
      </c>
      <c r="AA118" s="2">
        <f>(Z118/E118)*60</f>
        <v>-1.0237160894045385</v>
      </c>
      <c r="AB118" s="2">
        <v>221</v>
      </c>
      <c r="AC118" s="2">
        <f>(AB118/E118)*60</f>
        <v>22.624125575840299</v>
      </c>
      <c r="AD118" s="2">
        <v>144</v>
      </c>
      <c r="AE118" s="2">
        <f>(AD118/E118)*60</f>
        <v>14.741511687425353</v>
      </c>
      <c r="AF118" s="2">
        <v>21.5</v>
      </c>
      <c r="AG118" s="2">
        <v>32.6</v>
      </c>
      <c r="AH118" s="2">
        <f>AF118-AG118</f>
        <v>-11.100000000000001</v>
      </c>
      <c r="AI118" s="2">
        <v>5</v>
      </c>
      <c r="AJ118" s="2">
        <f>(AI118/E118)*60</f>
        <v>0.51185804470226925</v>
      </c>
      <c r="AK118" s="2">
        <v>2</v>
      </c>
      <c r="AL118" s="2">
        <v>10</v>
      </c>
      <c r="AM118" s="2">
        <f>(AL118/E118)*60</f>
        <v>1.0237160894045385</v>
      </c>
      <c r="AN118" s="2" t="s">
        <v>120</v>
      </c>
      <c r="AO118" s="2">
        <v>325</v>
      </c>
      <c r="AP118" s="2">
        <v>212</v>
      </c>
      <c r="AQ118" s="14">
        <f>(AP118/E118)*60</f>
        <v>21.702781095376213</v>
      </c>
    </row>
    <row r="119" spans="1:43" x14ac:dyDescent="0.35">
      <c r="A119" s="5" t="s">
        <v>220</v>
      </c>
      <c r="B119" s="5" t="s">
        <v>60</v>
      </c>
      <c r="C119" s="2" t="s">
        <v>39</v>
      </c>
      <c r="D119" s="2">
        <v>32</v>
      </c>
      <c r="E119" s="3">
        <v>591.73333333333335</v>
      </c>
      <c r="F119" s="2">
        <v>2</v>
      </c>
      <c r="G119" s="14">
        <f>(F119/E119)*60</f>
        <v>0.20279405137449302</v>
      </c>
      <c r="H119" s="2">
        <v>2</v>
      </c>
      <c r="I119" s="14">
        <f>(H119/E119)*60</f>
        <v>0.20279405137449302</v>
      </c>
      <c r="J119" s="2">
        <v>4</v>
      </c>
      <c r="K119" s="2">
        <v>1</v>
      </c>
      <c r="L119" s="2">
        <v>77</v>
      </c>
      <c r="M119" s="2">
        <v>29</v>
      </c>
      <c r="N119" s="2">
        <v>0.65</v>
      </c>
      <c r="O119" s="2">
        <v>1.45</v>
      </c>
      <c r="P119" s="2">
        <f>(O119/E119)*60</f>
        <v>0.14702568724650744</v>
      </c>
      <c r="Q119" s="2">
        <v>0</v>
      </c>
      <c r="R119" s="2">
        <v>0</v>
      </c>
      <c r="S119" s="2">
        <v>0</v>
      </c>
      <c r="T119" s="2">
        <v>0</v>
      </c>
      <c r="U119" s="2">
        <v>4</v>
      </c>
      <c r="V119" s="12">
        <v>16</v>
      </c>
      <c r="W119" s="2">
        <v>20</v>
      </c>
      <c r="X119" s="2">
        <v>4</v>
      </c>
      <c r="Y119" s="2">
        <v>1</v>
      </c>
      <c r="Z119" s="2">
        <f>Y119-X119</f>
        <v>-3</v>
      </c>
      <c r="AA119" s="2">
        <f>(Z119/E119)*60</f>
        <v>-0.30419107706173953</v>
      </c>
      <c r="AB119" s="2">
        <v>188</v>
      </c>
      <c r="AC119" s="2">
        <f>(AB119/E119)*60</f>
        <v>19.062640829202341</v>
      </c>
      <c r="AD119" s="2">
        <v>104</v>
      </c>
      <c r="AE119" s="2">
        <f>(AD119/E119)*60</f>
        <v>10.545290671473637</v>
      </c>
      <c r="AF119" s="2">
        <v>22</v>
      </c>
      <c r="AG119" s="2">
        <v>32</v>
      </c>
      <c r="AH119" s="2">
        <f>AF119-AG119</f>
        <v>-10</v>
      </c>
      <c r="AI119" s="2">
        <v>1</v>
      </c>
      <c r="AJ119" s="2">
        <f>(AI119/E119)*60</f>
        <v>0.10139702568724651</v>
      </c>
      <c r="AK119" s="2">
        <v>1</v>
      </c>
      <c r="AL119" s="2">
        <v>4</v>
      </c>
      <c r="AM119" s="2">
        <f>(AL119/E119)*60</f>
        <v>0.40558810274898605</v>
      </c>
      <c r="AN119" s="2" t="s">
        <v>221</v>
      </c>
      <c r="AO119" s="2">
        <v>316</v>
      </c>
      <c r="AP119" s="2">
        <v>196</v>
      </c>
      <c r="AQ119" s="14">
        <f>(AP119/E119)*60</f>
        <v>19.873817034700316</v>
      </c>
    </row>
    <row r="120" spans="1:43" x14ac:dyDescent="0.35">
      <c r="A120" s="5" t="s">
        <v>265</v>
      </c>
      <c r="B120" s="5" t="s">
        <v>30</v>
      </c>
      <c r="C120" s="2" t="s">
        <v>39</v>
      </c>
      <c r="D120" s="2">
        <v>32</v>
      </c>
      <c r="E120" s="3">
        <v>332.05</v>
      </c>
      <c r="F120" s="2">
        <v>1</v>
      </c>
      <c r="G120" s="14">
        <f>(F120/E120)*60</f>
        <v>0.18069567836169251</v>
      </c>
      <c r="H120" s="2">
        <v>3</v>
      </c>
      <c r="I120" s="14">
        <f>(H120/E120)*60</f>
        <v>0.5420870350850775</v>
      </c>
      <c r="J120" s="2">
        <v>4</v>
      </c>
      <c r="K120" s="2">
        <v>0</v>
      </c>
      <c r="L120" s="2">
        <v>28</v>
      </c>
      <c r="M120" s="2">
        <v>9</v>
      </c>
      <c r="N120" s="2">
        <v>0.44</v>
      </c>
      <c r="O120" s="2">
        <v>0.57999999999999996</v>
      </c>
      <c r="P120" s="2">
        <f>(O120/E120)*60</f>
        <v>0.10480349344978165</v>
      </c>
      <c r="Q120" s="2">
        <v>0</v>
      </c>
      <c r="R120" s="2">
        <v>0</v>
      </c>
      <c r="S120" s="2">
        <v>0</v>
      </c>
      <c r="T120" s="2">
        <v>0</v>
      </c>
      <c r="U120" s="2">
        <v>2</v>
      </c>
      <c r="V120" s="12">
        <v>12</v>
      </c>
      <c r="W120" s="2">
        <v>10</v>
      </c>
      <c r="X120" s="2">
        <v>0</v>
      </c>
      <c r="Y120" s="2">
        <v>1</v>
      </c>
      <c r="Z120" s="2">
        <f>Y120-X120</f>
        <v>1</v>
      </c>
      <c r="AA120" s="2">
        <f>(Z120/E120)*60</f>
        <v>0.18069567836169251</v>
      </c>
      <c r="AB120" s="2">
        <v>92</v>
      </c>
      <c r="AC120" s="2">
        <f>(AB120/E120)*60</f>
        <v>16.624002409275711</v>
      </c>
      <c r="AD120" s="2">
        <v>59</v>
      </c>
      <c r="AE120" s="2">
        <f>(AD120/E120)*60</f>
        <v>10.661045023339858</v>
      </c>
      <c r="AF120" s="2">
        <v>14.8</v>
      </c>
      <c r="AG120" s="2">
        <v>20.3</v>
      </c>
      <c r="AH120" s="2">
        <f>AF120-AG120</f>
        <v>-5.5</v>
      </c>
      <c r="AI120" s="2">
        <v>0</v>
      </c>
      <c r="AJ120" s="2">
        <f>(AI120/E120)*60</f>
        <v>0</v>
      </c>
      <c r="AK120" s="2">
        <v>0</v>
      </c>
      <c r="AL120" s="2">
        <v>3</v>
      </c>
      <c r="AM120" s="2">
        <f>(AL120/E120)*60</f>
        <v>0.5420870350850775</v>
      </c>
      <c r="AN120" s="2" t="s">
        <v>180</v>
      </c>
      <c r="AO120" s="2">
        <v>168</v>
      </c>
      <c r="AP120" s="2">
        <v>80</v>
      </c>
      <c r="AQ120" s="14">
        <f>(AP120/E120)*60</f>
        <v>14.455654268935401</v>
      </c>
    </row>
    <row r="121" spans="1:43" x14ac:dyDescent="0.35">
      <c r="A121" s="5" t="s">
        <v>306</v>
      </c>
      <c r="B121" s="5" t="s">
        <v>30</v>
      </c>
      <c r="C121" s="2" t="s">
        <v>39</v>
      </c>
      <c r="D121" s="2">
        <v>32</v>
      </c>
      <c r="E121" s="3">
        <v>378.26666666666665</v>
      </c>
      <c r="F121" s="2">
        <v>0</v>
      </c>
      <c r="G121" s="14">
        <f>(F121/E121)*60</f>
        <v>0</v>
      </c>
      <c r="H121" s="2">
        <v>2</v>
      </c>
      <c r="I121" s="14">
        <f>(H121/E121)*60</f>
        <v>0.31723651744800846</v>
      </c>
      <c r="J121" s="2">
        <v>2</v>
      </c>
      <c r="K121" s="2">
        <v>2</v>
      </c>
      <c r="L121" s="2">
        <v>30</v>
      </c>
      <c r="M121" s="2">
        <v>11</v>
      </c>
      <c r="N121" s="2">
        <v>0.78</v>
      </c>
      <c r="O121" s="2">
        <v>1.1000000000000001</v>
      </c>
      <c r="P121" s="2">
        <f>(O121/E121)*60</f>
        <v>0.17448008459640468</v>
      </c>
      <c r="Q121" s="2">
        <v>0</v>
      </c>
      <c r="R121" s="2">
        <v>0</v>
      </c>
      <c r="S121" s="2">
        <v>0</v>
      </c>
      <c r="T121" s="2">
        <v>0</v>
      </c>
      <c r="U121" s="2">
        <v>5</v>
      </c>
      <c r="V121" s="12">
        <v>9</v>
      </c>
      <c r="W121" s="2">
        <v>14</v>
      </c>
      <c r="X121" s="2">
        <v>4</v>
      </c>
      <c r="Y121" s="2">
        <v>1</v>
      </c>
      <c r="Z121" s="2">
        <f>Y121-X121</f>
        <v>-3</v>
      </c>
      <c r="AA121" s="2">
        <f>(Z121/E121)*60</f>
        <v>-0.47585477617201266</v>
      </c>
      <c r="AB121" s="2">
        <v>85</v>
      </c>
      <c r="AC121" s="2">
        <f>(AB121/E121)*60</f>
        <v>13.48255199154036</v>
      </c>
      <c r="AD121" s="2">
        <v>71</v>
      </c>
      <c r="AE121" s="2">
        <f>(AD121/E121)*60</f>
        <v>11.261896369404301</v>
      </c>
      <c r="AF121" s="2">
        <v>19.5</v>
      </c>
      <c r="AG121" s="2">
        <v>19</v>
      </c>
      <c r="AH121" s="2">
        <f>AF121-AG121</f>
        <v>0.5</v>
      </c>
      <c r="AI121" s="2">
        <v>2</v>
      </c>
      <c r="AJ121" s="2">
        <f>(AI121/E121)*60</f>
        <v>0.31723651744800846</v>
      </c>
      <c r="AK121" s="2">
        <v>2</v>
      </c>
      <c r="AL121" s="2">
        <v>4</v>
      </c>
      <c r="AM121" s="2">
        <f>(AL121/E121)*60</f>
        <v>0.63447303489601692</v>
      </c>
      <c r="AN121" s="2" t="s">
        <v>307</v>
      </c>
      <c r="AO121" s="2">
        <v>177</v>
      </c>
      <c r="AP121" s="2">
        <v>90</v>
      </c>
      <c r="AQ121" s="14">
        <f>(AP121/E121)*60</f>
        <v>14.275643285160381</v>
      </c>
    </row>
    <row r="122" spans="1:43" x14ac:dyDescent="0.35">
      <c r="A122" s="5" t="s">
        <v>322</v>
      </c>
      <c r="B122" s="5" t="s">
        <v>122</v>
      </c>
      <c r="C122" s="2" t="s">
        <v>31</v>
      </c>
      <c r="D122" s="2">
        <v>32</v>
      </c>
      <c r="E122" s="3">
        <v>476.43333333333334</v>
      </c>
      <c r="F122" s="2">
        <v>1</v>
      </c>
      <c r="G122" s="14">
        <f>(F122/E122)*60</f>
        <v>0.12593577275589449</v>
      </c>
      <c r="H122" s="2">
        <v>2</v>
      </c>
      <c r="I122" s="14">
        <f>(H122/E122)*60</f>
        <v>0.25187154551178897</v>
      </c>
      <c r="J122" s="2">
        <v>3</v>
      </c>
      <c r="K122" s="2">
        <v>13</v>
      </c>
      <c r="L122" s="2">
        <v>67</v>
      </c>
      <c r="M122" s="2">
        <v>33</v>
      </c>
      <c r="N122" s="2">
        <v>1.83</v>
      </c>
      <c r="O122" s="2">
        <v>5.4</v>
      </c>
      <c r="P122" s="2">
        <f>(O122/E122)*60</f>
        <v>0.68005317288183031</v>
      </c>
      <c r="Q122" s="2">
        <v>0</v>
      </c>
      <c r="R122" s="2">
        <v>0</v>
      </c>
      <c r="S122" s="2">
        <v>0</v>
      </c>
      <c r="T122" s="2">
        <v>0</v>
      </c>
      <c r="U122" s="2">
        <v>12</v>
      </c>
      <c r="V122" s="12">
        <v>7</v>
      </c>
      <c r="W122" s="2">
        <v>19</v>
      </c>
      <c r="X122" s="2">
        <v>2</v>
      </c>
      <c r="Y122" s="2">
        <v>4</v>
      </c>
      <c r="Z122" s="2">
        <f>Y122-X122</f>
        <v>2</v>
      </c>
      <c r="AA122" s="2">
        <f>(Z122/E122)*60</f>
        <v>0.25187154551178897</v>
      </c>
      <c r="AB122" s="2">
        <v>71</v>
      </c>
      <c r="AC122" s="2">
        <f>(AB122/E122)*60</f>
        <v>8.9414398656685083</v>
      </c>
      <c r="AD122" s="2">
        <v>98</v>
      </c>
      <c r="AE122" s="2">
        <f>(AD122/E122)*60</f>
        <v>12.34170573007766</v>
      </c>
      <c r="AF122" s="2">
        <v>18.100000000000001</v>
      </c>
      <c r="AG122" s="2">
        <v>28</v>
      </c>
      <c r="AH122" s="2">
        <f>AF122-AG122</f>
        <v>-9.8999999999999986</v>
      </c>
      <c r="AI122" s="2">
        <v>13</v>
      </c>
      <c r="AJ122" s="2">
        <f>(AI122/E122)*60</f>
        <v>1.6371650458266285</v>
      </c>
      <c r="AK122" s="2">
        <v>5</v>
      </c>
      <c r="AL122" s="2">
        <v>21</v>
      </c>
      <c r="AM122" s="2">
        <f>(AL122/E122)*60</f>
        <v>2.6446512278737844</v>
      </c>
      <c r="AN122" s="2" t="s">
        <v>164</v>
      </c>
      <c r="AO122" s="2">
        <v>240</v>
      </c>
      <c r="AP122" s="2">
        <v>103</v>
      </c>
      <c r="AQ122" s="14">
        <f>(AP122/E122)*60</f>
        <v>12.971384593857133</v>
      </c>
    </row>
    <row r="123" spans="1:43" x14ac:dyDescent="0.35">
      <c r="A123" s="5" t="s">
        <v>363</v>
      </c>
      <c r="B123" s="5" t="s">
        <v>122</v>
      </c>
      <c r="C123" s="2" t="s">
        <v>39</v>
      </c>
      <c r="D123" s="2">
        <v>32</v>
      </c>
      <c r="E123" s="3">
        <v>443.28333333333336</v>
      </c>
      <c r="F123" s="2">
        <v>1</v>
      </c>
      <c r="G123" s="14">
        <f>(F123/E123)*60</f>
        <v>0.13535361130954618</v>
      </c>
      <c r="H123" s="2">
        <v>0</v>
      </c>
      <c r="I123" s="14">
        <f>(H123/E123)*60</f>
        <v>0</v>
      </c>
      <c r="J123" s="2">
        <v>1</v>
      </c>
      <c r="K123" s="2">
        <v>0</v>
      </c>
      <c r="L123" s="2">
        <v>58</v>
      </c>
      <c r="M123" s="2">
        <v>24</v>
      </c>
      <c r="N123" s="2">
        <v>0.62</v>
      </c>
      <c r="O123" s="2">
        <v>1.51</v>
      </c>
      <c r="P123" s="2">
        <f>(O123/E123)*60</f>
        <v>0.20438395307741472</v>
      </c>
      <c r="Q123" s="2">
        <v>0</v>
      </c>
      <c r="R123" s="2">
        <v>0</v>
      </c>
      <c r="S123" s="2">
        <v>0</v>
      </c>
      <c r="T123" s="2">
        <v>0</v>
      </c>
      <c r="U123" s="2">
        <v>11</v>
      </c>
      <c r="V123" s="12">
        <v>5</v>
      </c>
      <c r="W123" s="2">
        <v>16</v>
      </c>
      <c r="X123" s="2">
        <v>4</v>
      </c>
      <c r="Y123" s="2">
        <v>3</v>
      </c>
      <c r="Z123" s="2">
        <f>Y123-X123</f>
        <v>-1</v>
      </c>
      <c r="AA123" s="2">
        <f>(Z123/E123)*60</f>
        <v>-0.13535361130954618</v>
      </c>
      <c r="AB123" s="2">
        <v>108</v>
      </c>
      <c r="AC123" s="2">
        <f>(AB123/E123)*60</f>
        <v>14.618190021430987</v>
      </c>
      <c r="AD123" s="2">
        <v>63</v>
      </c>
      <c r="AE123" s="2">
        <f>(AD123/E123)*60</f>
        <v>8.5272775125014082</v>
      </c>
      <c r="AF123" s="2">
        <v>16</v>
      </c>
      <c r="AG123" s="2">
        <v>26.4</v>
      </c>
      <c r="AH123" s="2">
        <f>AF123-AG123</f>
        <v>-10.399999999999999</v>
      </c>
      <c r="AI123" s="2">
        <v>0</v>
      </c>
      <c r="AJ123" s="2">
        <f>(AI123/E123)*60</f>
        <v>0</v>
      </c>
      <c r="AK123" s="2">
        <v>6</v>
      </c>
      <c r="AL123" s="2">
        <v>6</v>
      </c>
      <c r="AM123" s="2">
        <f>(AL123/E123)*60</f>
        <v>0.81212166785727713</v>
      </c>
      <c r="AN123" s="2" t="s">
        <v>364</v>
      </c>
      <c r="AO123" s="2">
        <v>167</v>
      </c>
      <c r="AP123" s="2">
        <v>94</v>
      </c>
      <c r="AQ123" s="14">
        <f>(AP123/E123)*60</f>
        <v>12.723239463097341</v>
      </c>
    </row>
    <row r="124" spans="1:43" x14ac:dyDescent="0.35">
      <c r="A124" s="5" t="s">
        <v>282</v>
      </c>
      <c r="B124" s="5" t="s">
        <v>53</v>
      </c>
      <c r="C124" s="2" t="s">
        <v>39</v>
      </c>
      <c r="D124" s="2">
        <v>32</v>
      </c>
      <c r="E124" s="3">
        <v>445.88333333333333</v>
      </c>
      <c r="F124" s="2">
        <v>0</v>
      </c>
      <c r="G124" s="14">
        <f>(F124/E124)*60</f>
        <v>0</v>
      </c>
      <c r="H124" s="2">
        <v>3</v>
      </c>
      <c r="I124" s="14">
        <f>(H124/E124)*60</f>
        <v>0.40369304377079207</v>
      </c>
      <c r="J124" s="2">
        <v>3</v>
      </c>
      <c r="K124" s="2">
        <v>0</v>
      </c>
      <c r="L124" s="2">
        <v>77</v>
      </c>
      <c r="M124" s="2">
        <v>23</v>
      </c>
      <c r="N124" s="2">
        <v>0.55000000000000004</v>
      </c>
      <c r="O124" s="2">
        <v>1.41</v>
      </c>
      <c r="P124" s="2">
        <f>(O124/E124)*60</f>
        <v>0.18973573057227228</v>
      </c>
      <c r="Q124" s="2">
        <v>0</v>
      </c>
      <c r="R124" s="2">
        <v>0</v>
      </c>
      <c r="S124" s="2">
        <v>0</v>
      </c>
      <c r="T124" s="2">
        <v>0</v>
      </c>
      <c r="U124" s="2">
        <v>3</v>
      </c>
      <c r="V124" s="12">
        <v>11</v>
      </c>
      <c r="W124" s="2">
        <v>8</v>
      </c>
      <c r="X124" s="2">
        <v>5</v>
      </c>
      <c r="Y124" s="2">
        <v>3</v>
      </c>
      <c r="Z124" s="2">
        <f>Y124-X124</f>
        <v>-2</v>
      </c>
      <c r="AA124" s="2">
        <f>(Z124/E124)*60</f>
        <v>-0.26912869584719473</v>
      </c>
      <c r="AB124" s="2">
        <v>81</v>
      </c>
      <c r="AC124" s="2">
        <f>(AB124/E124)*60</f>
        <v>10.899712181811386</v>
      </c>
      <c r="AD124" s="2">
        <v>68</v>
      </c>
      <c r="AE124" s="2">
        <f>(AD124/E124)*60</f>
        <v>9.1503756588046201</v>
      </c>
      <c r="AF124" s="2">
        <v>25</v>
      </c>
      <c r="AG124" s="2">
        <v>18.100000000000001</v>
      </c>
      <c r="AH124" s="2">
        <f>AF124-AG124</f>
        <v>6.8999999999999986</v>
      </c>
      <c r="AI124" s="2">
        <v>0</v>
      </c>
      <c r="AJ124" s="2">
        <f>(AI124/E124)*60</f>
        <v>0</v>
      </c>
      <c r="AK124" s="2">
        <v>2</v>
      </c>
      <c r="AL124" s="2">
        <v>13</v>
      </c>
      <c r="AM124" s="2">
        <f>(AL124/E124)*60</f>
        <v>1.7493365230067657</v>
      </c>
      <c r="AN124" s="2" t="s">
        <v>283</v>
      </c>
      <c r="AO124" s="2">
        <v>167</v>
      </c>
      <c r="AP124" s="2">
        <v>76</v>
      </c>
      <c r="AQ124" s="14">
        <f>(AP124/E124)*60</f>
        <v>10.226890442193399</v>
      </c>
    </row>
    <row r="125" spans="1:43" x14ac:dyDescent="0.35">
      <c r="A125" s="5" t="s">
        <v>171</v>
      </c>
      <c r="B125" s="5" t="s">
        <v>46</v>
      </c>
      <c r="C125" s="2" t="s">
        <v>39</v>
      </c>
      <c r="D125" s="2">
        <v>32</v>
      </c>
      <c r="E125" s="3">
        <v>497.95</v>
      </c>
      <c r="F125" s="2">
        <v>0</v>
      </c>
      <c r="G125" s="14">
        <f>(F125/E125)*60</f>
        <v>0</v>
      </c>
      <c r="H125" s="2">
        <v>6</v>
      </c>
      <c r="I125" s="14">
        <f>(H125/E125)*60</f>
        <v>0.72296415302741246</v>
      </c>
      <c r="J125" s="2">
        <v>6</v>
      </c>
      <c r="K125" s="2">
        <v>3</v>
      </c>
      <c r="L125" s="2">
        <v>95</v>
      </c>
      <c r="M125" s="2">
        <v>31</v>
      </c>
      <c r="N125" s="2">
        <v>0.63</v>
      </c>
      <c r="O125" s="2">
        <v>2.06</v>
      </c>
      <c r="P125" s="2">
        <f>(O125/E125)*60</f>
        <v>0.24821769253941162</v>
      </c>
      <c r="Q125" s="2">
        <v>0</v>
      </c>
      <c r="R125" s="2">
        <v>0</v>
      </c>
      <c r="S125" s="2">
        <v>0</v>
      </c>
      <c r="T125" s="2">
        <v>0</v>
      </c>
      <c r="U125" s="2">
        <v>9</v>
      </c>
      <c r="V125" s="12">
        <v>20</v>
      </c>
      <c r="W125" s="2">
        <v>11</v>
      </c>
      <c r="X125" s="2">
        <v>9</v>
      </c>
      <c r="Y125" s="2">
        <v>0</v>
      </c>
      <c r="Z125" s="2">
        <f>Y125-X125</f>
        <v>-9</v>
      </c>
      <c r="AA125" s="2">
        <f>(Z125/E125)*60</f>
        <v>-1.0844462295411186</v>
      </c>
      <c r="AB125" s="2">
        <v>116</v>
      </c>
      <c r="AC125" s="2">
        <f>(AB125/E125)*60</f>
        <v>13.977306958529974</v>
      </c>
      <c r="AD125" s="2">
        <v>82</v>
      </c>
      <c r="AE125" s="2">
        <f>(AD125/E125)*60</f>
        <v>9.8805100913746369</v>
      </c>
      <c r="AF125" s="2">
        <v>30.9</v>
      </c>
      <c r="AG125" s="2">
        <v>25.9</v>
      </c>
      <c r="AH125" s="2">
        <f>AF125-AG125</f>
        <v>5</v>
      </c>
      <c r="AI125" s="2">
        <v>3</v>
      </c>
      <c r="AJ125" s="2">
        <f>(AI125/E125)*60</f>
        <v>0.36148207651370623</v>
      </c>
      <c r="AK125" s="2">
        <v>3</v>
      </c>
      <c r="AL125" s="2">
        <v>8</v>
      </c>
      <c r="AM125" s="2">
        <f>(AL125/E125)*60</f>
        <v>0.9639522040365498</v>
      </c>
      <c r="AN125" s="2" t="s">
        <v>172</v>
      </c>
      <c r="AO125" s="2">
        <v>160</v>
      </c>
      <c r="AP125" s="2">
        <v>69</v>
      </c>
      <c r="AQ125" s="14">
        <f>(AP125/E125)*60</f>
        <v>8.3140877598152443</v>
      </c>
    </row>
    <row r="126" spans="1:43" x14ac:dyDescent="0.35">
      <c r="A126" s="5" t="s">
        <v>251</v>
      </c>
      <c r="B126" s="5" t="s">
        <v>78</v>
      </c>
      <c r="C126" s="2" t="s">
        <v>39</v>
      </c>
      <c r="D126" s="2">
        <v>31</v>
      </c>
      <c r="E126" s="3">
        <v>478.48333333333335</v>
      </c>
      <c r="F126" s="2">
        <v>3</v>
      </c>
      <c r="G126" s="14">
        <f>(F126/E126)*60</f>
        <v>0.37618865164234211</v>
      </c>
      <c r="H126" s="2">
        <v>1</v>
      </c>
      <c r="I126" s="14">
        <f>(H126/E126)*60</f>
        <v>0.12539621721411404</v>
      </c>
      <c r="J126" s="2">
        <v>4</v>
      </c>
      <c r="K126" s="2">
        <v>6</v>
      </c>
      <c r="L126" s="2">
        <v>69</v>
      </c>
      <c r="M126" s="2">
        <v>34</v>
      </c>
      <c r="N126" s="2">
        <v>1.07</v>
      </c>
      <c r="O126" s="2">
        <v>2.84</v>
      </c>
      <c r="P126" s="2">
        <f>(O126/E126)*60</f>
        <v>0.35612525688808383</v>
      </c>
      <c r="Q126" s="2">
        <v>0</v>
      </c>
      <c r="R126" s="2">
        <v>0</v>
      </c>
      <c r="S126" s="2">
        <v>0</v>
      </c>
      <c r="T126" s="2">
        <v>0</v>
      </c>
      <c r="U126" s="2">
        <v>6</v>
      </c>
      <c r="V126" s="12">
        <v>13</v>
      </c>
      <c r="W126" s="2">
        <v>19</v>
      </c>
      <c r="X126" s="2">
        <v>9</v>
      </c>
      <c r="Y126" s="2">
        <v>6</v>
      </c>
      <c r="Z126" s="2">
        <f>Y126-X126</f>
        <v>-3</v>
      </c>
      <c r="AA126" s="2">
        <f>(Z126/E126)*60</f>
        <v>-0.37618865164234211</v>
      </c>
      <c r="AB126" s="2">
        <v>182</v>
      </c>
      <c r="AC126" s="2">
        <f>(AB126/E126)*60</f>
        <v>22.822111532968755</v>
      </c>
      <c r="AD126" s="2">
        <v>109</v>
      </c>
      <c r="AE126" s="2">
        <f>(AD126/E126)*60</f>
        <v>13.66818767633843</v>
      </c>
      <c r="AF126" s="2">
        <v>18.2</v>
      </c>
      <c r="AG126" s="2">
        <v>28.1</v>
      </c>
      <c r="AH126" s="2">
        <f>AF126-AG126</f>
        <v>-9.9000000000000021</v>
      </c>
      <c r="AI126" s="2">
        <v>6</v>
      </c>
      <c r="AJ126" s="2">
        <f>(AI126/E126)*60</f>
        <v>0.75237730328468422</v>
      </c>
      <c r="AK126" s="2">
        <v>3</v>
      </c>
      <c r="AL126" s="2">
        <v>7</v>
      </c>
      <c r="AM126" s="2">
        <f>(AL126/E126)*60</f>
        <v>0.8777735204987982</v>
      </c>
      <c r="AN126" s="2" t="s">
        <v>252</v>
      </c>
      <c r="AO126" s="2">
        <v>329</v>
      </c>
      <c r="AP126" s="2">
        <v>188</v>
      </c>
      <c r="AQ126" s="14">
        <f>(AP126/E126)*60</f>
        <v>23.574488836253437</v>
      </c>
    </row>
    <row r="127" spans="1:43" x14ac:dyDescent="0.35">
      <c r="A127" s="5" t="s">
        <v>167</v>
      </c>
      <c r="B127" s="5" t="s">
        <v>71</v>
      </c>
      <c r="C127" s="2" t="s">
        <v>31</v>
      </c>
      <c r="D127" s="2">
        <v>31</v>
      </c>
      <c r="E127" s="3">
        <v>481.21666666666664</v>
      </c>
      <c r="F127" s="2">
        <v>3</v>
      </c>
      <c r="G127" s="14">
        <f>(F127/E127)*60</f>
        <v>0.37405188238146364</v>
      </c>
      <c r="H127" s="2">
        <v>5</v>
      </c>
      <c r="I127" s="14">
        <f>(H127/E127)*60</f>
        <v>0.62341980396910612</v>
      </c>
      <c r="J127" s="2">
        <v>8</v>
      </c>
      <c r="K127" s="2">
        <v>16</v>
      </c>
      <c r="L127" s="2">
        <v>122</v>
      </c>
      <c r="M127" s="2">
        <v>67</v>
      </c>
      <c r="N127" s="2">
        <v>2.2799999999999998</v>
      </c>
      <c r="O127" s="2">
        <v>9.3000000000000007</v>
      </c>
      <c r="P127" s="2">
        <f>(O127/E127)*60</f>
        <v>1.1595608353825375</v>
      </c>
      <c r="Q127" s="2">
        <v>1</v>
      </c>
      <c r="R127" s="2">
        <v>0</v>
      </c>
      <c r="S127" s="2">
        <v>1</v>
      </c>
      <c r="T127" s="2">
        <v>0</v>
      </c>
      <c r="U127" s="2">
        <v>8</v>
      </c>
      <c r="V127" s="12">
        <v>20</v>
      </c>
      <c r="W127" s="2">
        <v>12</v>
      </c>
      <c r="X127" s="2">
        <v>8</v>
      </c>
      <c r="Y127" s="2">
        <v>11</v>
      </c>
      <c r="Z127" s="2">
        <f>Y127-X127</f>
        <v>3</v>
      </c>
      <c r="AA127" s="2">
        <f>(Z127/E127)*60</f>
        <v>0.37405188238146364</v>
      </c>
      <c r="AB127" s="2">
        <v>97</v>
      </c>
      <c r="AC127" s="2">
        <f>(AB127/E127)*60</f>
        <v>12.094344197000659</v>
      </c>
      <c r="AD127" s="2">
        <v>154</v>
      </c>
      <c r="AE127" s="2">
        <f>(AD127/E127)*60</f>
        <v>19.201329962248469</v>
      </c>
      <c r="AF127" s="2">
        <v>30.1</v>
      </c>
      <c r="AG127" s="2">
        <v>17.899999999999999</v>
      </c>
      <c r="AH127" s="2">
        <f>AF127-AG127</f>
        <v>12.200000000000003</v>
      </c>
      <c r="AI127" s="2">
        <v>16</v>
      </c>
      <c r="AJ127" s="2">
        <f>(AI127/E127)*60</f>
        <v>1.9949433727011396</v>
      </c>
      <c r="AK127" s="2">
        <v>13</v>
      </c>
      <c r="AL127" s="2">
        <v>20</v>
      </c>
      <c r="AM127" s="2">
        <f>(AL127/E127)*60</f>
        <v>2.4936792158764245</v>
      </c>
      <c r="AN127" s="2" t="s">
        <v>168</v>
      </c>
      <c r="AO127" s="2">
        <v>377</v>
      </c>
      <c r="AP127" s="2">
        <v>171</v>
      </c>
      <c r="AQ127" s="14">
        <f>(AP127/E127)*60</f>
        <v>21.32095729574343</v>
      </c>
    </row>
    <row r="128" spans="1:43" x14ac:dyDescent="0.35">
      <c r="A128" s="5" t="s">
        <v>227</v>
      </c>
      <c r="B128" s="5" t="s">
        <v>122</v>
      </c>
      <c r="C128" s="2" t="s">
        <v>31</v>
      </c>
      <c r="D128" s="2">
        <v>31</v>
      </c>
      <c r="E128" s="3">
        <v>477.9</v>
      </c>
      <c r="F128" s="2">
        <v>5</v>
      </c>
      <c r="G128" s="14">
        <f>(F128/E128)*60</f>
        <v>0.62774639045825487</v>
      </c>
      <c r="H128" s="2">
        <v>4</v>
      </c>
      <c r="I128" s="14">
        <f>(H128/E128)*60</f>
        <v>0.50219711236660391</v>
      </c>
      <c r="J128" s="2">
        <v>9</v>
      </c>
      <c r="K128" s="2">
        <v>21</v>
      </c>
      <c r="L128" s="2">
        <v>74</v>
      </c>
      <c r="M128" s="2">
        <v>45</v>
      </c>
      <c r="N128" s="2">
        <v>2.85</v>
      </c>
      <c r="O128" s="2">
        <v>7.3</v>
      </c>
      <c r="P128" s="2">
        <f>(O128/E128)*60</f>
        <v>0.91650973006905212</v>
      </c>
      <c r="Q128" s="2">
        <v>433</v>
      </c>
      <c r="R128" s="2">
        <v>213</v>
      </c>
      <c r="S128" s="2">
        <v>220</v>
      </c>
      <c r="T128" s="7">
        <v>0.49199999999999999</v>
      </c>
      <c r="U128" s="2">
        <v>1</v>
      </c>
      <c r="V128" s="12">
        <v>16</v>
      </c>
      <c r="W128" s="2">
        <v>17</v>
      </c>
      <c r="X128" s="2">
        <v>12</v>
      </c>
      <c r="Y128" s="2">
        <v>18</v>
      </c>
      <c r="Z128" s="2">
        <f>Y128-X128</f>
        <v>6</v>
      </c>
      <c r="AA128" s="2">
        <f>(Z128/E128)*60</f>
        <v>0.75329566854990593</v>
      </c>
      <c r="AB128" s="2">
        <v>83</v>
      </c>
      <c r="AC128" s="2">
        <f>(AB128/E128)*60</f>
        <v>10.420590081607031</v>
      </c>
      <c r="AD128" s="2">
        <v>82</v>
      </c>
      <c r="AE128" s="2">
        <f>(AD128/E128)*60</f>
        <v>10.295040803515381</v>
      </c>
      <c r="AF128" s="2">
        <v>25.4</v>
      </c>
      <c r="AG128" s="2">
        <v>25.3</v>
      </c>
      <c r="AH128" s="2">
        <f>AF128-AG128</f>
        <v>9.9999999999997868E-2</v>
      </c>
      <c r="AI128" s="2">
        <v>21</v>
      </c>
      <c r="AJ128" s="2">
        <f>(AI128/E128)*60</f>
        <v>2.6365348399246704</v>
      </c>
      <c r="AK128" s="2">
        <v>11</v>
      </c>
      <c r="AL128" s="2">
        <v>18</v>
      </c>
      <c r="AM128" s="2">
        <f>(AL128/E128)*60</f>
        <v>2.259887005649718</v>
      </c>
      <c r="AN128" s="2" t="s">
        <v>188</v>
      </c>
      <c r="AO128" s="2">
        <v>289</v>
      </c>
      <c r="AP128" s="2">
        <v>140</v>
      </c>
      <c r="AQ128" s="14">
        <f>(AP128/E128)*60</f>
        <v>17.576898932831138</v>
      </c>
    </row>
    <row r="129" spans="1:43" x14ac:dyDescent="0.35">
      <c r="A129" s="5" t="s">
        <v>371</v>
      </c>
      <c r="B129" s="5" t="s">
        <v>30</v>
      </c>
      <c r="C129" s="2" t="s">
        <v>31</v>
      </c>
      <c r="D129" s="2">
        <v>31</v>
      </c>
      <c r="E129" s="3">
        <v>193.51666666666668</v>
      </c>
      <c r="F129" s="2">
        <v>0</v>
      </c>
      <c r="G129" s="14">
        <f>(F129/E129)*60</f>
        <v>0</v>
      </c>
      <c r="H129" s="2">
        <v>0</v>
      </c>
      <c r="I129" s="14">
        <f>(H129/E129)*60</f>
        <v>0</v>
      </c>
      <c r="J129" s="2">
        <v>0</v>
      </c>
      <c r="K129" s="2">
        <v>3</v>
      </c>
      <c r="L129" s="2">
        <v>12</v>
      </c>
      <c r="M129" s="2">
        <v>8</v>
      </c>
      <c r="N129" s="2">
        <v>0.63</v>
      </c>
      <c r="O129" s="2">
        <v>1.17</v>
      </c>
      <c r="P129" s="2">
        <f>(O129/E129)*60</f>
        <v>0.3627594522435621</v>
      </c>
      <c r="Q129" s="2">
        <v>3</v>
      </c>
      <c r="R129" s="2">
        <v>2</v>
      </c>
      <c r="S129" s="2">
        <v>1</v>
      </c>
      <c r="T129" s="7">
        <v>0.66700000000000004</v>
      </c>
      <c r="U129" s="2">
        <v>5</v>
      </c>
      <c r="V129" s="12">
        <v>4</v>
      </c>
      <c r="W129" s="2">
        <v>9</v>
      </c>
      <c r="X129" s="2">
        <v>0</v>
      </c>
      <c r="Y129" s="2">
        <v>2</v>
      </c>
      <c r="Z129" s="2">
        <f>Y129-X129</f>
        <v>2</v>
      </c>
      <c r="AA129" s="2">
        <f>(Z129/E129)*60</f>
        <v>0.6201016277667728</v>
      </c>
      <c r="AB129" s="2">
        <v>10</v>
      </c>
      <c r="AC129" s="2">
        <f>(AB129/E129)*60</f>
        <v>3.1005081388338644</v>
      </c>
      <c r="AD129" s="2">
        <v>36</v>
      </c>
      <c r="AE129" s="2">
        <f>(AD129/E129)*60</f>
        <v>11.161829299801912</v>
      </c>
      <c r="AF129" s="2">
        <v>7.6</v>
      </c>
      <c r="AG129" s="2">
        <v>10</v>
      </c>
      <c r="AH129" s="2">
        <f>AF129-AG129</f>
        <v>-2.4000000000000004</v>
      </c>
      <c r="AI129" s="2">
        <v>3</v>
      </c>
      <c r="AJ129" s="2">
        <f>(AI129/E129)*60</f>
        <v>0.93015244165015931</v>
      </c>
      <c r="AK129" s="2">
        <v>1</v>
      </c>
      <c r="AL129" s="2">
        <v>2</v>
      </c>
      <c r="AM129" s="2">
        <f>(AL129/E129)*60</f>
        <v>0.6201016277667728</v>
      </c>
      <c r="AN129" s="2" t="s">
        <v>346</v>
      </c>
      <c r="AO129" s="2">
        <v>109</v>
      </c>
      <c r="AP129" s="2">
        <v>54</v>
      </c>
      <c r="AQ129" s="14">
        <f>(AP129/E129)*60</f>
        <v>16.742743949702867</v>
      </c>
    </row>
    <row r="130" spans="1:43" x14ac:dyDescent="0.35">
      <c r="A130" s="5" t="s">
        <v>372</v>
      </c>
      <c r="B130" s="5" t="s">
        <v>46</v>
      </c>
      <c r="C130" s="2" t="s">
        <v>31</v>
      </c>
      <c r="D130" s="2">
        <v>31</v>
      </c>
      <c r="E130" s="3">
        <v>328.56666666666666</v>
      </c>
      <c r="F130" s="2">
        <v>1</v>
      </c>
      <c r="G130" s="14">
        <f>(F130/E130)*60</f>
        <v>0.18261134219336514</v>
      </c>
      <c r="H130" s="2">
        <v>2</v>
      </c>
      <c r="I130" s="14">
        <f>(H130/E130)*60</f>
        <v>0.36522268438673028</v>
      </c>
      <c r="J130" s="2">
        <v>3</v>
      </c>
      <c r="K130" s="2">
        <v>10</v>
      </c>
      <c r="L130" s="2">
        <v>81</v>
      </c>
      <c r="M130" s="2">
        <v>40</v>
      </c>
      <c r="N130" s="2">
        <v>1.64</v>
      </c>
      <c r="O130" s="2">
        <v>5.0999999999999996</v>
      </c>
      <c r="P130" s="2">
        <f>(O130/E130)*60</f>
        <v>0.93131784518616212</v>
      </c>
      <c r="Q130" s="2">
        <v>0</v>
      </c>
      <c r="R130" s="2">
        <v>0</v>
      </c>
      <c r="S130" s="2">
        <v>0</v>
      </c>
      <c r="T130" s="2">
        <v>0</v>
      </c>
      <c r="U130" s="2">
        <v>5</v>
      </c>
      <c r="V130" s="12">
        <v>4</v>
      </c>
      <c r="W130" s="2">
        <v>9</v>
      </c>
      <c r="X130" s="2">
        <v>4</v>
      </c>
      <c r="Y130" s="2">
        <v>3</v>
      </c>
      <c r="Z130" s="2">
        <f>Y130-X130</f>
        <v>-1</v>
      </c>
      <c r="AA130" s="2">
        <f>(Z130/E130)*60</f>
        <v>-0.18261134219336514</v>
      </c>
      <c r="AB130" s="2">
        <v>55</v>
      </c>
      <c r="AC130" s="2">
        <f>(AB130/E130)*60</f>
        <v>10.043623820635082</v>
      </c>
      <c r="AD130" s="2">
        <v>95</v>
      </c>
      <c r="AE130" s="2">
        <f>(AD130/E130)*60</f>
        <v>17.348077508369688</v>
      </c>
      <c r="AF130" s="2">
        <v>13.9</v>
      </c>
      <c r="AG130" s="2">
        <v>15.7</v>
      </c>
      <c r="AH130" s="2">
        <f>AF130-AG130</f>
        <v>-1.7999999999999989</v>
      </c>
      <c r="AI130" s="2">
        <v>10</v>
      </c>
      <c r="AJ130" s="2">
        <f>(AI130/E130)*60</f>
        <v>1.8261134219336512</v>
      </c>
      <c r="AK130" s="2">
        <v>2</v>
      </c>
      <c r="AL130" s="2">
        <v>4</v>
      </c>
      <c r="AM130" s="2">
        <f>(AL130/E130)*60</f>
        <v>0.73044536877346056</v>
      </c>
      <c r="AN130" s="2" t="s">
        <v>373</v>
      </c>
      <c r="AO130" s="2">
        <v>209</v>
      </c>
      <c r="AP130" s="2">
        <v>80</v>
      </c>
      <c r="AQ130" s="14">
        <f>(AP130/E130)*60</f>
        <v>14.60890737546921</v>
      </c>
    </row>
    <row r="131" spans="1:43" x14ac:dyDescent="0.35">
      <c r="A131" s="5" t="s">
        <v>415</v>
      </c>
      <c r="B131" s="5" t="s">
        <v>60</v>
      </c>
      <c r="C131" s="2" t="s">
        <v>31</v>
      </c>
      <c r="D131" s="2">
        <v>31</v>
      </c>
      <c r="E131" s="3">
        <v>259.68333333333334</v>
      </c>
      <c r="F131" s="2">
        <v>0</v>
      </c>
      <c r="G131" s="14">
        <f>(F131/E131)*60</f>
        <v>0</v>
      </c>
      <c r="H131" s="2">
        <v>0</v>
      </c>
      <c r="I131" s="14">
        <f>(H131/E131)*60</f>
        <v>0</v>
      </c>
      <c r="J131" s="2">
        <v>0</v>
      </c>
      <c r="K131" s="2">
        <v>5</v>
      </c>
      <c r="L131" s="2">
        <v>22</v>
      </c>
      <c r="M131" s="2">
        <v>11</v>
      </c>
      <c r="N131" s="2">
        <v>1.24</v>
      </c>
      <c r="O131" s="2">
        <v>1.82</v>
      </c>
      <c r="P131" s="2">
        <f>(O131/E131)*60</f>
        <v>0.42051216224889287</v>
      </c>
      <c r="Q131" s="2">
        <v>68</v>
      </c>
      <c r="R131" s="2">
        <v>34</v>
      </c>
      <c r="S131" s="2">
        <v>34</v>
      </c>
      <c r="T131" s="8">
        <v>0.5</v>
      </c>
      <c r="U131" s="2">
        <v>8</v>
      </c>
      <c r="V131" s="12">
        <v>1</v>
      </c>
      <c r="W131" s="2">
        <v>9</v>
      </c>
      <c r="X131" s="2">
        <v>2</v>
      </c>
      <c r="Y131" s="2">
        <v>0</v>
      </c>
      <c r="Z131" s="2">
        <f>Y131-X131</f>
        <v>-2</v>
      </c>
      <c r="AA131" s="2">
        <f>(Z131/E131)*60</f>
        <v>-0.46210127719658556</v>
      </c>
      <c r="AB131" s="2">
        <v>21</v>
      </c>
      <c r="AC131" s="2">
        <f>(AB131/E131)*60</f>
        <v>4.8520634105641491</v>
      </c>
      <c r="AD131" s="2">
        <v>49</v>
      </c>
      <c r="AE131" s="2">
        <f>(AD131/E131)*60</f>
        <v>11.321481291316346</v>
      </c>
      <c r="AF131" s="2">
        <v>6.8</v>
      </c>
      <c r="AG131" s="2">
        <v>15.6</v>
      </c>
      <c r="AH131" s="2">
        <f>AF131-AG131</f>
        <v>-8.8000000000000007</v>
      </c>
      <c r="AI131" s="2">
        <v>5</v>
      </c>
      <c r="AJ131" s="2">
        <f>(AI131/E131)*60</f>
        <v>1.1552531929914638</v>
      </c>
      <c r="AK131" s="2">
        <v>1</v>
      </c>
      <c r="AL131" s="2">
        <v>0</v>
      </c>
      <c r="AM131" s="2">
        <f>(AL131/E131)*60</f>
        <v>0</v>
      </c>
      <c r="AN131" s="2" t="s">
        <v>375</v>
      </c>
      <c r="AO131" s="2">
        <v>108</v>
      </c>
      <c r="AP131" s="2">
        <v>58</v>
      </c>
      <c r="AQ131" s="14">
        <f>(AP131/E131)*60</f>
        <v>13.400937038700981</v>
      </c>
    </row>
    <row r="132" spans="1:43" x14ac:dyDescent="0.35">
      <c r="A132" s="5" t="s">
        <v>329</v>
      </c>
      <c r="B132" s="5" t="s">
        <v>78</v>
      </c>
      <c r="C132" s="2" t="s">
        <v>31</v>
      </c>
      <c r="D132" s="2">
        <v>31</v>
      </c>
      <c r="E132" s="3">
        <v>231.35</v>
      </c>
      <c r="F132" s="2">
        <v>1</v>
      </c>
      <c r="G132" s="14">
        <f>(F132/E132)*60</f>
        <v>0.25934730927166633</v>
      </c>
      <c r="H132" s="2">
        <v>0</v>
      </c>
      <c r="I132" s="14">
        <f>(H132/E132)*60</f>
        <v>0</v>
      </c>
      <c r="J132" s="2">
        <v>1</v>
      </c>
      <c r="K132" s="2">
        <v>6</v>
      </c>
      <c r="L132" s="2">
        <v>29</v>
      </c>
      <c r="M132" s="2">
        <v>14</v>
      </c>
      <c r="N132" s="2">
        <v>0.99</v>
      </c>
      <c r="O132" s="2">
        <v>1.99</v>
      </c>
      <c r="P132" s="2">
        <f>(O132/E132)*60</f>
        <v>0.51610114545061592</v>
      </c>
      <c r="Q132" s="2">
        <v>0</v>
      </c>
      <c r="R132" s="2">
        <v>0</v>
      </c>
      <c r="S132" s="2">
        <v>0</v>
      </c>
      <c r="T132" s="2">
        <v>0</v>
      </c>
      <c r="U132" s="2">
        <v>1</v>
      </c>
      <c r="V132" s="12">
        <v>6</v>
      </c>
      <c r="W132" s="2">
        <v>7</v>
      </c>
      <c r="X132" s="2">
        <v>3</v>
      </c>
      <c r="Y132" s="2">
        <v>7</v>
      </c>
      <c r="Z132" s="2">
        <f>Y132-X132</f>
        <v>4</v>
      </c>
      <c r="AA132" s="2">
        <f>(Z132/E132)*60</f>
        <v>1.0373892370866653</v>
      </c>
      <c r="AB132" s="2">
        <v>30</v>
      </c>
      <c r="AC132" s="2">
        <f>(AB132/E132)*60</f>
        <v>7.7804192781499895</v>
      </c>
      <c r="AD132" s="2">
        <v>74</v>
      </c>
      <c r="AE132" s="2">
        <f>(AD132/E132)*60</f>
        <v>19.191700886103305</v>
      </c>
      <c r="AF132" s="2">
        <v>9.1999999999999993</v>
      </c>
      <c r="AG132" s="2">
        <v>11.4</v>
      </c>
      <c r="AH132" s="2">
        <f>AF132-AG132</f>
        <v>-2.2000000000000011</v>
      </c>
      <c r="AI132" s="2">
        <v>6</v>
      </c>
      <c r="AJ132" s="2">
        <f>(AI132/E132)*60</f>
        <v>1.5560838556299978</v>
      </c>
      <c r="AK132" s="2">
        <v>3</v>
      </c>
      <c r="AL132" s="2">
        <v>2</v>
      </c>
      <c r="AM132" s="2">
        <f>(AL132/E132)*60</f>
        <v>0.51869461854333265</v>
      </c>
      <c r="AN132" s="2" t="s">
        <v>330</v>
      </c>
      <c r="AO132" s="2">
        <v>121</v>
      </c>
      <c r="AP132" s="2">
        <v>50</v>
      </c>
      <c r="AQ132" s="14">
        <f>(AP132/E132)*60</f>
        <v>12.967365463583315</v>
      </c>
    </row>
    <row r="133" spans="1:43" x14ac:dyDescent="0.35">
      <c r="A133" s="5" t="s">
        <v>331</v>
      </c>
      <c r="B133" s="5" t="s">
        <v>122</v>
      </c>
      <c r="C133" s="2" t="s">
        <v>39</v>
      </c>
      <c r="D133" s="2">
        <v>31</v>
      </c>
      <c r="E133" s="3">
        <v>302.63333333333333</v>
      </c>
      <c r="F133" s="2">
        <v>1</v>
      </c>
      <c r="G133" s="14">
        <f>(F133/E133)*60</f>
        <v>0.19825972023350591</v>
      </c>
      <c r="H133" s="2">
        <v>1</v>
      </c>
      <c r="I133" s="14">
        <f>(H133/E133)*60</f>
        <v>0.19825972023350591</v>
      </c>
      <c r="J133" s="2">
        <v>2</v>
      </c>
      <c r="K133" s="2">
        <v>0</v>
      </c>
      <c r="L133" s="2">
        <v>32</v>
      </c>
      <c r="M133" s="2">
        <v>12</v>
      </c>
      <c r="N133" s="2">
        <v>0.27</v>
      </c>
      <c r="O133" s="2">
        <v>0.54</v>
      </c>
      <c r="P133" s="2">
        <f>(O133/E133)*60</f>
        <v>0.10706024892609318</v>
      </c>
      <c r="Q133" s="2">
        <v>0</v>
      </c>
      <c r="R133" s="2">
        <v>0</v>
      </c>
      <c r="S133" s="2">
        <v>0</v>
      </c>
      <c r="T133" s="2">
        <v>0</v>
      </c>
      <c r="U133" s="2">
        <v>8</v>
      </c>
      <c r="V133" s="12">
        <v>6</v>
      </c>
      <c r="W133" s="2">
        <v>14</v>
      </c>
      <c r="X133" s="2">
        <v>3</v>
      </c>
      <c r="Y133" s="2">
        <v>3</v>
      </c>
      <c r="Z133" s="2">
        <f>Y133-X133</f>
        <v>0</v>
      </c>
      <c r="AA133" s="2">
        <f>(Z133/E133)*60</f>
        <v>0</v>
      </c>
      <c r="AB133" s="2">
        <v>84</v>
      </c>
      <c r="AC133" s="2">
        <f>(AB133/E133)*60</f>
        <v>16.653816499614493</v>
      </c>
      <c r="AD133" s="2">
        <v>58</v>
      </c>
      <c r="AE133" s="2">
        <f>(AD133/E133)*60</f>
        <v>11.499063773543343</v>
      </c>
      <c r="AF133" s="2">
        <v>14.2</v>
      </c>
      <c r="AG133" s="2">
        <v>25.4</v>
      </c>
      <c r="AH133" s="2">
        <f>AF133-AG133</f>
        <v>-11.2</v>
      </c>
      <c r="AI133" s="2">
        <v>0</v>
      </c>
      <c r="AJ133" s="2">
        <f>(AI133/E133)*60</f>
        <v>0</v>
      </c>
      <c r="AK133" s="2">
        <v>2</v>
      </c>
      <c r="AL133" s="2">
        <v>3</v>
      </c>
      <c r="AM133" s="2">
        <f>(AL133/E133)*60</f>
        <v>0.59477916070051773</v>
      </c>
      <c r="AN133" s="2" t="s">
        <v>332</v>
      </c>
      <c r="AO133" s="2">
        <v>139</v>
      </c>
      <c r="AP133" s="2">
        <v>65</v>
      </c>
      <c r="AQ133" s="14">
        <f>(AP133/E133)*60</f>
        <v>12.886881815177883</v>
      </c>
    </row>
    <row r="134" spans="1:43" x14ac:dyDescent="0.35">
      <c r="A134" s="5" t="s">
        <v>288</v>
      </c>
      <c r="B134" s="5" t="s">
        <v>53</v>
      </c>
      <c r="C134" s="2" t="s">
        <v>31</v>
      </c>
      <c r="D134" s="2">
        <v>30</v>
      </c>
      <c r="E134" s="3">
        <v>427.08333333333331</v>
      </c>
      <c r="F134" s="2">
        <v>5</v>
      </c>
      <c r="G134" s="14">
        <f>(F134/E134)*60</f>
        <v>0.70243902439024386</v>
      </c>
      <c r="H134" s="2">
        <v>2</v>
      </c>
      <c r="I134" s="14">
        <f>(H134/E134)*60</f>
        <v>0.28097560975609753</v>
      </c>
      <c r="J134" s="2">
        <v>7</v>
      </c>
      <c r="K134" s="2">
        <v>18</v>
      </c>
      <c r="L134" s="2">
        <v>98</v>
      </c>
      <c r="M134" s="2">
        <v>60</v>
      </c>
      <c r="N134" s="2">
        <v>1.99</v>
      </c>
      <c r="O134" s="2">
        <v>7.1</v>
      </c>
      <c r="P134" s="2">
        <f>(O134/E134)*60</f>
        <v>0.99746341463414634</v>
      </c>
      <c r="Q134" s="2">
        <v>110</v>
      </c>
      <c r="R134" s="2">
        <v>49</v>
      </c>
      <c r="S134" s="2">
        <v>61</v>
      </c>
      <c r="T134" s="7">
        <v>0.44500000000000001</v>
      </c>
      <c r="U134" s="2">
        <v>5</v>
      </c>
      <c r="V134" s="12">
        <v>11</v>
      </c>
      <c r="W134" s="2">
        <v>6</v>
      </c>
      <c r="X134" s="2">
        <v>7</v>
      </c>
      <c r="Y134" s="2">
        <v>9</v>
      </c>
      <c r="Z134" s="2">
        <f>Y134-X134</f>
        <v>2</v>
      </c>
      <c r="AA134" s="2">
        <f>(Z134/E134)*60</f>
        <v>0.28097560975609753</v>
      </c>
      <c r="AB134" s="2">
        <v>72</v>
      </c>
      <c r="AC134" s="2">
        <f>(AB134/E134)*60</f>
        <v>10.115121951219512</v>
      </c>
      <c r="AD134" s="2">
        <v>80</v>
      </c>
      <c r="AE134" s="2">
        <f>(AD134/E134)*60</f>
        <v>11.239024390243902</v>
      </c>
      <c r="AF134" s="2">
        <v>20.5</v>
      </c>
      <c r="AG134" s="2">
        <v>15.3</v>
      </c>
      <c r="AH134" s="2">
        <f>AF134-AG134</f>
        <v>5.1999999999999993</v>
      </c>
      <c r="AI134" s="2">
        <v>18</v>
      </c>
      <c r="AJ134" s="2">
        <f>(AI134/E134)*60</f>
        <v>2.5287804878048781</v>
      </c>
      <c r="AK134" s="2">
        <v>7</v>
      </c>
      <c r="AL134" s="2">
        <v>17</v>
      </c>
      <c r="AM134" s="2">
        <f>(AL134/E134)*60</f>
        <v>2.3882926829268292</v>
      </c>
      <c r="AN134" s="2" t="s">
        <v>243</v>
      </c>
      <c r="AO134" s="2">
        <v>305</v>
      </c>
      <c r="AP134" s="2">
        <v>158</v>
      </c>
      <c r="AQ134" s="14">
        <f>(AP134/E134)*60</f>
        <v>22.197073170731706</v>
      </c>
    </row>
    <row r="135" spans="1:43" x14ac:dyDescent="0.35">
      <c r="A135" s="5" t="s">
        <v>278</v>
      </c>
      <c r="B135" s="5" t="s">
        <v>34</v>
      </c>
      <c r="C135" s="2" t="s">
        <v>31</v>
      </c>
      <c r="D135" s="2">
        <v>30</v>
      </c>
      <c r="E135" s="3">
        <v>390.6</v>
      </c>
      <c r="F135" s="2">
        <v>4</v>
      </c>
      <c r="G135" s="14">
        <f>(F135/E135)*60</f>
        <v>0.61443932411674351</v>
      </c>
      <c r="H135" s="2">
        <v>4</v>
      </c>
      <c r="I135" s="14">
        <f>(H135/E135)*60</f>
        <v>0.61443932411674351</v>
      </c>
      <c r="J135" s="2">
        <v>8</v>
      </c>
      <c r="K135" s="2">
        <v>4</v>
      </c>
      <c r="L135" s="2">
        <v>35</v>
      </c>
      <c r="M135" s="2">
        <v>21</v>
      </c>
      <c r="N135" s="2">
        <v>0.99</v>
      </c>
      <c r="O135" s="2">
        <v>1.74</v>
      </c>
      <c r="P135" s="2">
        <f>(O135/E135)*60</f>
        <v>0.26728110599078336</v>
      </c>
      <c r="Q135" s="2">
        <v>295</v>
      </c>
      <c r="R135" s="2">
        <v>146</v>
      </c>
      <c r="S135" s="2">
        <v>149</v>
      </c>
      <c r="T135" s="7">
        <v>0.495</v>
      </c>
      <c r="U135" s="2">
        <v>7</v>
      </c>
      <c r="V135" s="12">
        <v>11</v>
      </c>
      <c r="W135" s="2">
        <v>18</v>
      </c>
      <c r="X135" s="2">
        <v>7</v>
      </c>
      <c r="Y135" s="2">
        <v>0</v>
      </c>
      <c r="Z135" s="2">
        <f>Y135-X135</f>
        <v>-7</v>
      </c>
      <c r="AA135" s="2">
        <f>(Z135/E135)*60</f>
        <v>-1.075268817204301</v>
      </c>
      <c r="AB135" s="2">
        <v>69</v>
      </c>
      <c r="AC135" s="2">
        <f>(AB135/E135)*60</f>
        <v>10.599078341013824</v>
      </c>
      <c r="AD135" s="2">
        <v>65</v>
      </c>
      <c r="AE135" s="2">
        <f>(AD135/E135)*60</f>
        <v>9.9846390168970807</v>
      </c>
      <c r="AF135" s="2">
        <v>9.1999999999999993</v>
      </c>
      <c r="AG135" s="2">
        <v>23.7</v>
      </c>
      <c r="AH135" s="2">
        <f>AF135-AG135</f>
        <v>-14.5</v>
      </c>
      <c r="AI135" s="2">
        <v>4</v>
      </c>
      <c r="AJ135" s="2">
        <f>(AI135/E135)*60</f>
        <v>0.61443932411674351</v>
      </c>
      <c r="AK135" s="2">
        <v>1</v>
      </c>
      <c r="AL135" s="2">
        <v>10</v>
      </c>
      <c r="AM135" s="2">
        <f>(AL135/E135)*60</f>
        <v>1.5360983102918586</v>
      </c>
      <c r="AN135" s="2" t="s">
        <v>279</v>
      </c>
      <c r="AO135" s="2">
        <v>172</v>
      </c>
      <c r="AP135" s="2">
        <v>99</v>
      </c>
      <c r="AQ135" s="14">
        <f>(AP135/E135)*60</f>
        <v>15.207373271889402</v>
      </c>
    </row>
    <row r="136" spans="1:43" x14ac:dyDescent="0.35">
      <c r="A136" s="5" t="s">
        <v>114</v>
      </c>
      <c r="B136" s="5" t="s">
        <v>34</v>
      </c>
      <c r="C136" s="2" t="s">
        <v>39</v>
      </c>
      <c r="D136" s="2">
        <v>30</v>
      </c>
      <c r="E136" s="3">
        <v>474.9</v>
      </c>
      <c r="F136" s="2">
        <v>5</v>
      </c>
      <c r="G136" s="14">
        <f>(F136/E136)*60</f>
        <v>0.63171193935565384</v>
      </c>
      <c r="H136" s="2">
        <v>4</v>
      </c>
      <c r="I136" s="14">
        <f>(H136/E136)*60</f>
        <v>0.50536955148452312</v>
      </c>
      <c r="J136" s="2">
        <v>9</v>
      </c>
      <c r="K136" s="2">
        <v>3</v>
      </c>
      <c r="L136" s="2">
        <v>106</v>
      </c>
      <c r="M136" s="2">
        <v>49</v>
      </c>
      <c r="N136" s="2">
        <v>0.74</v>
      </c>
      <c r="O136" s="2">
        <v>2.62</v>
      </c>
      <c r="P136" s="2">
        <f>(O136/E136)*60</f>
        <v>0.3310170562223626</v>
      </c>
      <c r="Q136" s="2">
        <v>0</v>
      </c>
      <c r="R136" s="2">
        <v>0</v>
      </c>
      <c r="S136" s="2">
        <v>0</v>
      </c>
      <c r="T136" s="2">
        <v>0</v>
      </c>
      <c r="U136" s="2">
        <v>9</v>
      </c>
      <c r="V136" s="12">
        <v>25</v>
      </c>
      <c r="W136" s="2">
        <v>16</v>
      </c>
      <c r="X136" s="2">
        <v>13</v>
      </c>
      <c r="Y136" s="2">
        <v>6</v>
      </c>
      <c r="Z136" s="2">
        <f>Y136-X136</f>
        <v>-7</v>
      </c>
      <c r="AA136" s="2">
        <f>(Z136/E136)*60</f>
        <v>-0.8843967150979154</v>
      </c>
      <c r="AB136" s="2">
        <v>138</v>
      </c>
      <c r="AC136" s="2">
        <f>(AB136/E136)*60</f>
        <v>17.435249526216047</v>
      </c>
      <c r="AD136" s="2">
        <v>103</v>
      </c>
      <c r="AE136" s="2">
        <f>(AD136/E136)*60</f>
        <v>13.013265950726469</v>
      </c>
      <c r="AF136" s="2">
        <v>22.9</v>
      </c>
      <c r="AG136" s="2">
        <v>20.2</v>
      </c>
      <c r="AH136" s="2">
        <f>AF136-AG136</f>
        <v>2.6999999999999993</v>
      </c>
      <c r="AI136" s="2">
        <v>3</v>
      </c>
      <c r="AJ136" s="2">
        <f>(AI136/E136)*60</f>
        <v>0.37902716361339228</v>
      </c>
      <c r="AK136" s="2">
        <v>4</v>
      </c>
      <c r="AL136" s="2">
        <v>11</v>
      </c>
      <c r="AM136" s="2">
        <f>(AL136/E136)*60</f>
        <v>1.3897662665824384</v>
      </c>
      <c r="AN136" s="2" t="s">
        <v>115</v>
      </c>
      <c r="AO136" s="2">
        <v>219</v>
      </c>
      <c r="AP136" s="2">
        <v>116</v>
      </c>
      <c r="AQ136" s="14">
        <f>(AP136/E136)*60</f>
        <v>14.655716993051168</v>
      </c>
    </row>
    <row r="137" spans="1:43" x14ac:dyDescent="0.35">
      <c r="A137" s="5" t="s">
        <v>240</v>
      </c>
      <c r="B137" s="5" t="s">
        <v>30</v>
      </c>
      <c r="C137" s="2" t="s">
        <v>31</v>
      </c>
      <c r="D137" s="2">
        <v>30</v>
      </c>
      <c r="E137" s="3">
        <v>391.23333333333335</v>
      </c>
      <c r="F137" s="2">
        <v>5</v>
      </c>
      <c r="G137" s="14">
        <f>(F137/E137)*60</f>
        <v>0.76680582772429062</v>
      </c>
      <c r="H137" s="2">
        <v>5</v>
      </c>
      <c r="I137" s="14">
        <f>(H137/E137)*60</f>
        <v>0.76680582772429062</v>
      </c>
      <c r="J137" s="2">
        <v>10</v>
      </c>
      <c r="K137" s="2">
        <v>15</v>
      </c>
      <c r="L137" s="2">
        <v>54</v>
      </c>
      <c r="M137" s="2">
        <v>31</v>
      </c>
      <c r="N137" s="2">
        <v>2.0499999999999998</v>
      </c>
      <c r="O137" s="2">
        <v>5.4</v>
      </c>
      <c r="P137" s="2">
        <f>(O137/E137)*60</f>
        <v>0.82815029394223405</v>
      </c>
      <c r="Q137" s="2">
        <v>0</v>
      </c>
      <c r="R137" s="2">
        <v>0</v>
      </c>
      <c r="S137" s="2">
        <v>0</v>
      </c>
      <c r="T137" s="2">
        <v>0</v>
      </c>
      <c r="U137" s="2">
        <v>4</v>
      </c>
      <c r="V137" s="12">
        <v>14</v>
      </c>
      <c r="W137" s="2">
        <v>10</v>
      </c>
      <c r="X137" s="2">
        <v>2</v>
      </c>
      <c r="Y137" s="2">
        <v>3</v>
      </c>
      <c r="Z137" s="2">
        <f>Y137-X137</f>
        <v>1</v>
      </c>
      <c r="AA137" s="2">
        <f>(Z137/E137)*60</f>
        <v>0.15336116554485812</v>
      </c>
      <c r="AB137" s="2">
        <v>52</v>
      </c>
      <c r="AC137" s="2">
        <f>(AB137/E137)*60</f>
        <v>7.9747806083326225</v>
      </c>
      <c r="AD137" s="2">
        <v>101</v>
      </c>
      <c r="AE137" s="2">
        <f>(AD137/E137)*60</f>
        <v>15.489477720030674</v>
      </c>
      <c r="AF137" s="2">
        <v>19.8</v>
      </c>
      <c r="AG137" s="2">
        <v>16.399999999999999</v>
      </c>
      <c r="AH137" s="2">
        <f>AF137-AG137</f>
        <v>3.4000000000000021</v>
      </c>
      <c r="AI137" s="2">
        <v>15</v>
      </c>
      <c r="AJ137" s="2">
        <f>(AI137/E137)*60</f>
        <v>2.3004174831728719</v>
      </c>
      <c r="AK137" s="2">
        <v>7</v>
      </c>
      <c r="AL137" s="2">
        <v>2</v>
      </c>
      <c r="AM137" s="2">
        <f>(AL137/E137)*60</f>
        <v>0.30672233108971625</v>
      </c>
      <c r="AN137" s="2" t="s">
        <v>241</v>
      </c>
      <c r="AO137" s="2">
        <v>203</v>
      </c>
      <c r="AP137" s="2">
        <v>86</v>
      </c>
      <c r="AQ137" s="14">
        <f>(AP137/E137)*60</f>
        <v>13.1890602368578</v>
      </c>
    </row>
    <row r="138" spans="1:43" x14ac:dyDescent="0.35">
      <c r="A138" s="5" t="s">
        <v>133</v>
      </c>
      <c r="B138" s="5" t="s">
        <v>46</v>
      </c>
      <c r="C138" s="2" t="s">
        <v>39</v>
      </c>
      <c r="D138" s="2">
        <v>30</v>
      </c>
      <c r="E138" s="3">
        <v>476.31666666666666</v>
      </c>
      <c r="F138" s="2">
        <v>2</v>
      </c>
      <c r="G138" s="14">
        <f>(F138/E138)*60</f>
        <v>0.25193323769201159</v>
      </c>
      <c r="H138" s="2">
        <v>6</v>
      </c>
      <c r="I138" s="14">
        <f>(H138/E138)*60</f>
        <v>0.75579971307603488</v>
      </c>
      <c r="J138" s="2">
        <v>8</v>
      </c>
      <c r="K138" s="2">
        <v>0</v>
      </c>
      <c r="L138" s="2">
        <v>64</v>
      </c>
      <c r="M138" s="2">
        <v>28</v>
      </c>
      <c r="N138" s="2">
        <v>0.56999999999999995</v>
      </c>
      <c r="O138" s="2">
        <v>1.1000000000000001</v>
      </c>
      <c r="P138" s="2">
        <f>(O138/E138)*60</f>
        <v>0.13856328073060639</v>
      </c>
      <c r="Q138" s="2">
        <v>0</v>
      </c>
      <c r="R138" s="2">
        <v>0</v>
      </c>
      <c r="S138" s="2">
        <v>0</v>
      </c>
      <c r="T138" s="2">
        <v>0</v>
      </c>
      <c r="U138" s="2">
        <v>12</v>
      </c>
      <c r="V138" s="12">
        <v>22</v>
      </c>
      <c r="W138" s="2">
        <v>10</v>
      </c>
      <c r="X138" s="2">
        <v>10</v>
      </c>
      <c r="Y138" s="2">
        <v>3</v>
      </c>
      <c r="Z138" s="2">
        <f>Y138-X138</f>
        <v>-7</v>
      </c>
      <c r="AA138" s="2">
        <f>(Z138/E138)*60</f>
        <v>-0.88176633192204068</v>
      </c>
      <c r="AB138" s="2">
        <v>101</v>
      </c>
      <c r="AC138" s="2">
        <f>(AB138/E138)*60</f>
        <v>12.722628503446586</v>
      </c>
      <c r="AD138" s="2">
        <v>76</v>
      </c>
      <c r="AE138" s="2">
        <f>(AD138/E138)*60</f>
        <v>9.5734630322964414</v>
      </c>
      <c r="AF138" s="2">
        <v>24.7</v>
      </c>
      <c r="AG138" s="2">
        <v>22.9</v>
      </c>
      <c r="AH138" s="2">
        <f>AF138-AG138</f>
        <v>1.8000000000000007</v>
      </c>
      <c r="AI138" s="2">
        <v>0</v>
      </c>
      <c r="AJ138" s="2">
        <f>(AI138/E138)*60</f>
        <v>0</v>
      </c>
      <c r="AK138" s="2">
        <v>1</v>
      </c>
      <c r="AL138" s="2">
        <v>10</v>
      </c>
      <c r="AM138" s="2">
        <f>(AL138/E138)*60</f>
        <v>1.2596661884600582</v>
      </c>
      <c r="AN138" s="2" t="s">
        <v>134</v>
      </c>
      <c r="AO138" s="2">
        <v>185</v>
      </c>
      <c r="AP138" s="2">
        <v>104</v>
      </c>
      <c r="AQ138" s="14">
        <f>(AP138/E138)*60</f>
        <v>13.100528359984603</v>
      </c>
    </row>
    <row r="139" spans="1:43" x14ac:dyDescent="0.35">
      <c r="A139" s="5" t="s">
        <v>383</v>
      </c>
      <c r="B139" s="5" t="s">
        <v>34</v>
      </c>
      <c r="C139" s="2" t="s">
        <v>31</v>
      </c>
      <c r="D139" s="2">
        <v>30</v>
      </c>
      <c r="E139" s="3">
        <v>268.08333333333331</v>
      </c>
      <c r="F139" s="2">
        <v>0</v>
      </c>
      <c r="G139" s="14">
        <f>(F139/E139)*60</f>
        <v>0</v>
      </c>
      <c r="H139" s="2">
        <v>2</v>
      </c>
      <c r="I139" s="14">
        <f>(H139/E139)*60</f>
        <v>0.44762200808206409</v>
      </c>
      <c r="J139" s="2">
        <v>2</v>
      </c>
      <c r="K139" s="2">
        <v>7</v>
      </c>
      <c r="L139" s="2">
        <v>26</v>
      </c>
      <c r="M139" s="2">
        <v>14</v>
      </c>
      <c r="N139" s="2">
        <v>1.3</v>
      </c>
      <c r="O139" s="2">
        <v>2.13</v>
      </c>
      <c r="P139" s="2">
        <f>(O139/E139)*60</f>
        <v>0.47671743860739824</v>
      </c>
      <c r="Q139" s="2">
        <v>2</v>
      </c>
      <c r="R139" s="2">
        <v>0</v>
      </c>
      <c r="S139" s="2">
        <v>2</v>
      </c>
      <c r="T139" s="2">
        <v>0</v>
      </c>
      <c r="U139" s="2">
        <v>8</v>
      </c>
      <c r="V139" s="12">
        <v>4</v>
      </c>
      <c r="W139" s="2">
        <v>12</v>
      </c>
      <c r="X139" s="2">
        <v>2</v>
      </c>
      <c r="Y139" s="2">
        <v>1</v>
      </c>
      <c r="Z139" s="2">
        <f>Y139-X139</f>
        <v>-1</v>
      </c>
      <c r="AA139" s="2">
        <f>(Z139/E139)*60</f>
        <v>-0.22381100404103205</v>
      </c>
      <c r="AB139" s="2">
        <v>22</v>
      </c>
      <c r="AC139" s="2">
        <f>(AB139/E139)*60</f>
        <v>4.9238420889027052</v>
      </c>
      <c r="AD139" s="2">
        <v>63</v>
      </c>
      <c r="AE139" s="2">
        <f>(AD139/E139)*60</f>
        <v>14.100093254585019</v>
      </c>
      <c r="AF139" s="2">
        <v>6.3</v>
      </c>
      <c r="AG139" s="2">
        <v>15.3</v>
      </c>
      <c r="AH139" s="2">
        <f>AF139-AG139</f>
        <v>-9</v>
      </c>
      <c r="AI139" s="2">
        <v>7</v>
      </c>
      <c r="AJ139" s="2">
        <f>(AI139/E139)*60</f>
        <v>1.5666770282872242</v>
      </c>
      <c r="AK139" s="2">
        <v>0</v>
      </c>
      <c r="AL139" s="2">
        <v>0</v>
      </c>
      <c r="AM139" s="2">
        <f>(AL139/E139)*60</f>
        <v>0</v>
      </c>
      <c r="AN139" s="2" t="s">
        <v>384</v>
      </c>
      <c r="AO139" s="2">
        <v>120</v>
      </c>
      <c r="AP139" s="2">
        <v>49</v>
      </c>
      <c r="AQ139" s="14">
        <f>(AP139/E139)*60</f>
        <v>10.96673919801057</v>
      </c>
    </row>
    <row r="140" spans="1:43" x14ac:dyDescent="0.35">
      <c r="A140" s="5" t="s">
        <v>238</v>
      </c>
      <c r="B140" s="5" t="s">
        <v>53</v>
      </c>
      <c r="C140" s="2" t="s">
        <v>31</v>
      </c>
      <c r="D140" s="2">
        <v>29</v>
      </c>
      <c r="E140" s="3">
        <v>476.16666666666669</v>
      </c>
      <c r="F140" s="2">
        <v>2</v>
      </c>
      <c r="G140" s="14">
        <f>(F140/E140)*60</f>
        <v>0.2520126006300315</v>
      </c>
      <c r="H140" s="2">
        <v>7</v>
      </c>
      <c r="I140" s="14">
        <f>(H140/E140)*60</f>
        <v>0.8820441022051102</v>
      </c>
      <c r="J140" s="2">
        <v>9</v>
      </c>
      <c r="K140" s="2">
        <v>14</v>
      </c>
      <c r="L140" s="2">
        <v>61</v>
      </c>
      <c r="M140" s="2">
        <v>34</v>
      </c>
      <c r="N140" s="2">
        <v>1.92</v>
      </c>
      <c r="O140" s="2">
        <v>4.22</v>
      </c>
      <c r="P140" s="2">
        <f>(O140/E140)*60</f>
        <v>0.53174658732936642</v>
      </c>
      <c r="Q140" s="2">
        <v>362</v>
      </c>
      <c r="R140" s="2">
        <v>196</v>
      </c>
      <c r="S140" s="2">
        <v>166</v>
      </c>
      <c r="T140" s="7">
        <v>0.54100000000000004</v>
      </c>
      <c r="U140" s="2">
        <v>7</v>
      </c>
      <c r="V140" s="12">
        <v>14</v>
      </c>
      <c r="W140" s="2">
        <v>7</v>
      </c>
      <c r="X140" s="2">
        <v>1</v>
      </c>
      <c r="Y140" s="2">
        <v>4</v>
      </c>
      <c r="Z140" s="2">
        <f>Y140-X140</f>
        <v>3</v>
      </c>
      <c r="AA140" s="2">
        <f>(Z140/E140)*60</f>
        <v>0.3780189009450472</v>
      </c>
      <c r="AB140" s="2">
        <v>63</v>
      </c>
      <c r="AC140" s="2">
        <f>(AB140/E140)*60</f>
        <v>7.9383969198459923</v>
      </c>
      <c r="AD140" s="2">
        <v>94</v>
      </c>
      <c r="AE140" s="2">
        <f>(AD140/E140)*60</f>
        <v>11.844592229611481</v>
      </c>
      <c r="AF140" s="2">
        <v>22.3</v>
      </c>
      <c r="AG140" s="2">
        <v>19.7</v>
      </c>
      <c r="AH140" s="2">
        <f>AF140-AG140</f>
        <v>2.6000000000000014</v>
      </c>
      <c r="AI140" s="2">
        <v>14</v>
      </c>
      <c r="AJ140" s="2">
        <f>(AI140/E140)*60</f>
        <v>1.7640882044102204</v>
      </c>
      <c r="AK140" s="2">
        <v>6</v>
      </c>
      <c r="AL140" s="2">
        <v>18</v>
      </c>
      <c r="AM140" s="2">
        <f>(AL140/E140)*60</f>
        <v>2.2681134056702832</v>
      </c>
      <c r="AN140" s="2" t="s">
        <v>239</v>
      </c>
      <c r="AO140" s="2">
        <v>307</v>
      </c>
      <c r="AP140" s="2">
        <v>133</v>
      </c>
      <c r="AQ140" s="14">
        <f>(AP140/E140)*60</f>
        <v>16.758837941897095</v>
      </c>
    </row>
    <row r="141" spans="1:43" x14ac:dyDescent="0.35">
      <c r="A141" s="5" t="s">
        <v>195</v>
      </c>
      <c r="B141" s="5" t="s">
        <v>108</v>
      </c>
      <c r="C141" s="2" t="s">
        <v>31</v>
      </c>
      <c r="D141" s="2">
        <v>29</v>
      </c>
      <c r="E141" s="3">
        <v>478</v>
      </c>
      <c r="F141" s="2">
        <v>5</v>
      </c>
      <c r="G141" s="14">
        <f>(F141/E141)*60</f>
        <v>0.62761506276150625</v>
      </c>
      <c r="H141" s="2">
        <v>7</v>
      </c>
      <c r="I141" s="14">
        <f>(H141/E141)*60</f>
        <v>0.87866108786610875</v>
      </c>
      <c r="J141" s="2">
        <v>12</v>
      </c>
      <c r="K141" s="2">
        <v>25</v>
      </c>
      <c r="L141" s="2">
        <v>63</v>
      </c>
      <c r="M141" s="2">
        <v>48</v>
      </c>
      <c r="N141" s="2">
        <v>3.27</v>
      </c>
      <c r="O141" s="2">
        <v>7.3</v>
      </c>
      <c r="P141" s="2">
        <f>(O141/E141)*60</f>
        <v>0.91631799163179917</v>
      </c>
      <c r="Q141" s="2">
        <v>9</v>
      </c>
      <c r="R141" s="2">
        <v>3</v>
      </c>
      <c r="S141" s="2">
        <v>6</v>
      </c>
      <c r="T141" s="7">
        <v>0.33300000000000002</v>
      </c>
      <c r="U141" s="2">
        <v>11</v>
      </c>
      <c r="V141" s="12">
        <v>18</v>
      </c>
      <c r="W141" s="2">
        <v>29</v>
      </c>
      <c r="X141" s="2">
        <v>4</v>
      </c>
      <c r="Y141" s="2">
        <v>9</v>
      </c>
      <c r="Z141" s="2">
        <f>Y141-X141</f>
        <v>5</v>
      </c>
      <c r="AA141" s="2">
        <f>(Z141/E141)*60</f>
        <v>0.62761506276150625</v>
      </c>
      <c r="AB141" s="2">
        <v>77</v>
      </c>
      <c r="AC141" s="2">
        <f>(AB141/E141)*60</f>
        <v>9.6652719665271967</v>
      </c>
      <c r="AD141" s="2">
        <v>103</v>
      </c>
      <c r="AE141" s="2">
        <f>(AD141/E141)*60</f>
        <v>12.92887029288703</v>
      </c>
      <c r="AF141" s="2">
        <v>20.100000000000001</v>
      </c>
      <c r="AG141" s="2">
        <v>31.1</v>
      </c>
      <c r="AH141" s="2">
        <f>AF141-AG141</f>
        <v>-11</v>
      </c>
      <c r="AI141" s="2">
        <v>25</v>
      </c>
      <c r="AJ141" s="2">
        <f>(AI141/E141)*60</f>
        <v>3.1380753138075312</v>
      </c>
      <c r="AK141" s="2">
        <v>14</v>
      </c>
      <c r="AL141" s="2">
        <v>25</v>
      </c>
      <c r="AM141" s="2">
        <f>(AL141/E141)*60</f>
        <v>3.1380753138075312</v>
      </c>
      <c r="AN141" s="2" t="s">
        <v>196</v>
      </c>
      <c r="AO141" s="2">
        <v>280</v>
      </c>
      <c r="AP141" s="2">
        <v>130</v>
      </c>
      <c r="AQ141" s="14">
        <f>(AP141/E141)*60</f>
        <v>16.317991631799163</v>
      </c>
    </row>
    <row r="142" spans="1:43" x14ac:dyDescent="0.35">
      <c r="A142" s="5" t="s">
        <v>321</v>
      </c>
      <c r="B142" s="5" t="s">
        <v>122</v>
      </c>
      <c r="C142" s="2" t="s">
        <v>31</v>
      </c>
      <c r="D142" s="2">
        <v>29</v>
      </c>
      <c r="E142" s="3">
        <v>338.81666666666666</v>
      </c>
      <c r="F142" s="2">
        <v>1</v>
      </c>
      <c r="G142" s="14">
        <f>(F142/E142)*60</f>
        <v>0.17708692016331348</v>
      </c>
      <c r="H142" s="2">
        <v>4</v>
      </c>
      <c r="I142" s="14">
        <f>(H142/E142)*60</f>
        <v>0.70834768065325393</v>
      </c>
      <c r="J142" s="2">
        <v>5</v>
      </c>
      <c r="K142" s="2">
        <v>7</v>
      </c>
      <c r="L142" s="2">
        <v>27</v>
      </c>
      <c r="M142" s="2">
        <v>9</v>
      </c>
      <c r="N142" s="2">
        <v>1.33</v>
      </c>
      <c r="O142" s="2">
        <v>2.23</v>
      </c>
      <c r="P142" s="2">
        <f>(O142/E142)*60</f>
        <v>0.3949038319641891</v>
      </c>
      <c r="Q142" s="2">
        <v>1</v>
      </c>
      <c r="R142" s="2">
        <v>0</v>
      </c>
      <c r="S142" s="2">
        <v>1</v>
      </c>
      <c r="T142" s="2">
        <v>0</v>
      </c>
      <c r="U142" s="2">
        <v>3</v>
      </c>
      <c r="V142" s="12">
        <v>7</v>
      </c>
      <c r="W142" s="2">
        <v>10</v>
      </c>
      <c r="X142" s="2">
        <v>3</v>
      </c>
      <c r="Y142" s="2">
        <v>3</v>
      </c>
      <c r="Z142" s="2">
        <f>Y142-X142</f>
        <v>0</v>
      </c>
      <c r="AA142" s="2">
        <f>(Z142/E142)*60</f>
        <v>0</v>
      </c>
      <c r="AB142" s="2">
        <v>32</v>
      </c>
      <c r="AC142" s="2">
        <f>(AB142/E142)*60</f>
        <v>5.6667814452260314</v>
      </c>
      <c r="AD142" s="2">
        <v>103</v>
      </c>
      <c r="AE142" s="2">
        <f>(AD142/E142)*60</f>
        <v>18.239952776821291</v>
      </c>
      <c r="AF142" s="2">
        <v>8.4</v>
      </c>
      <c r="AG142" s="2">
        <v>22.2</v>
      </c>
      <c r="AH142" s="2">
        <f>AF142-AG142</f>
        <v>-13.799999999999999</v>
      </c>
      <c r="AI142" s="2">
        <v>7</v>
      </c>
      <c r="AJ142" s="2">
        <f>(AI142/E142)*60</f>
        <v>1.2396084411431945</v>
      </c>
      <c r="AK142" s="2">
        <v>2</v>
      </c>
      <c r="AL142" s="2">
        <v>1</v>
      </c>
      <c r="AM142" s="2">
        <f>(AL142/E142)*60</f>
        <v>0.17708692016331348</v>
      </c>
      <c r="AN142" s="2" t="s">
        <v>256</v>
      </c>
      <c r="AO142" s="2">
        <v>191</v>
      </c>
      <c r="AP142" s="2">
        <v>80</v>
      </c>
      <c r="AQ142" s="14">
        <f>(AP142/E142)*60</f>
        <v>14.166953613065081</v>
      </c>
    </row>
    <row r="143" spans="1:43" x14ac:dyDescent="0.35">
      <c r="A143" s="5" t="s">
        <v>165</v>
      </c>
      <c r="B143" s="5" t="s">
        <v>46</v>
      </c>
      <c r="C143" s="2" t="s">
        <v>31</v>
      </c>
      <c r="D143" s="2">
        <v>29</v>
      </c>
      <c r="E143" s="3">
        <v>408.9</v>
      </c>
      <c r="F143" s="2">
        <v>1</v>
      </c>
      <c r="G143" s="14">
        <f>(F143/E143)*60</f>
        <v>0.14673514306676452</v>
      </c>
      <c r="H143" s="2">
        <v>6</v>
      </c>
      <c r="I143" s="14">
        <f>(H143/E143)*60</f>
        <v>0.88041085840058697</v>
      </c>
      <c r="J143" s="2">
        <v>7</v>
      </c>
      <c r="K143" s="2">
        <v>14</v>
      </c>
      <c r="L143" s="2">
        <v>81</v>
      </c>
      <c r="M143" s="2">
        <v>45</v>
      </c>
      <c r="N143" s="2">
        <v>1.96</v>
      </c>
      <c r="O143" s="2">
        <v>5.8</v>
      </c>
      <c r="P143" s="2">
        <f>(O143/E143)*60</f>
        <v>0.85106382978723405</v>
      </c>
      <c r="Q143" s="2">
        <v>125</v>
      </c>
      <c r="R143" s="2">
        <v>59</v>
      </c>
      <c r="S143" s="2">
        <v>66</v>
      </c>
      <c r="T143" s="7">
        <v>0.47199999999999998</v>
      </c>
      <c r="U143" s="2">
        <v>7</v>
      </c>
      <c r="V143" s="12">
        <v>20</v>
      </c>
      <c r="W143" s="2">
        <v>13</v>
      </c>
      <c r="X143" s="2">
        <v>1</v>
      </c>
      <c r="Y143" s="2">
        <v>4</v>
      </c>
      <c r="Z143" s="2">
        <f>Y143-X143</f>
        <v>3</v>
      </c>
      <c r="AA143" s="2">
        <f>(Z143/E143)*60</f>
        <v>0.44020542920029349</v>
      </c>
      <c r="AB143" s="2">
        <v>50</v>
      </c>
      <c r="AC143" s="2">
        <f>(AB143/E143)*60</f>
        <v>7.3367571533382243</v>
      </c>
      <c r="AD143" s="2">
        <v>96</v>
      </c>
      <c r="AE143" s="2">
        <f>(AD143/E143)*60</f>
        <v>14.086573734409392</v>
      </c>
      <c r="AF143" s="2">
        <v>17.7</v>
      </c>
      <c r="AG143" s="2">
        <v>23.4</v>
      </c>
      <c r="AH143" s="2">
        <f>AF143-AG143</f>
        <v>-5.6999999999999993</v>
      </c>
      <c r="AI143" s="2">
        <v>14</v>
      </c>
      <c r="AJ143" s="2">
        <f>(AI143/E143)*60</f>
        <v>2.0542920029347029</v>
      </c>
      <c r="AK143" s="2">
        <v>5</v>
      </c>
      <c r="AL143" s="2">
        <v>9</v>
      </c>
      <c r="AM143" s="2">
        <f>(AL143/E143)*60</f>
        <v>1.3206162876008805</v>
      </c>
      <c r="AN143" s="2" t="s">
        <v>166</v>
      </c>
      <c r="AO143" s="2">
        <v>236</v>
      </c>
      <c r="AP143" s="2">
        <v>96</v>
      </c>
      <c r="AQ143" s="14">
        <f>(AP143/E143)*60</f>
        <v>14.086573734409392</v>
      </c>
    </row>
    <row r="144" spans="1:43" x14ac:dyDescent="0.35">
      <c r="A144" s="5" t="s">
        <v>345</v>
      </c>
      <c r="B144" s="5" t="s">
        <v>53</v>
      </c>
      <c r="C144" s="2" t="s">
        <v>31</v>
      </c>
      <c r="D144" s="2">
        <v>29</v>
      </c>
      <c r="E144" s="3">
        <v>166.05</v>
      </c>
      <c r="F144" s="2">
        <v>1</v>
      </c>
      <c r="G144" s="14">
        <f>(F144/E144)*60</f>
        <v>0.36133694670280037</v>
      </c>
      <c r="H144" s="2">
        <v>4</v>
      </c>
      <c r="I144" s="14">
        <f>(H144/E144)*60</f>
        <v>1.4453477868112015</v>
      </c>
      <c r="J144" s="2">
        <v>5</v>
      </c>
      <c r="K144" s="2">
        <v>7</v>
      </c>
      <c r="L144" s="2">
        <v>23</v>
      </c>
      <c r="M144" s="2">
        <v>13</v>
      </c>
      <c r="N144" s="2">
        <v>1.55</v>
      </c>
      <c r="O144" s="2">
        <v>2.27</v>
      </c>
      <c r="P144" s="2">
        <f>(O144/E144)*60</f>
        <v>0.8202348690153568</v>
      </c>
      <c r="Q144" s="2">
        <v>24</v>
      </c>
      <c r="R144" s="2">
        <v>11</v>
      </c>
      <c r="S144" s="2">
        <v>13</v>
      </c>
      <c r="T144" s="7">
        <v>0.45800000000000002</v>
      </c>
      <c r="U144" s="2">
        <v>2</v>
      </c>
      <c r="V144" s="12">
        <v>6</v>
      </c>
      <c r="W144" s="2">
        <v>4</v>
      </c>
      <c r="X144" s="2">
        <v>0</v>
      </c>
      <c r="Y144" s="2">
        <v>0</v>
      </c>
      <c r="Z144" s="2">
        <f>Y144-X144</f>
        <v>0</v>
      </c>
      <c r="AA144" s="2">
        <f>(Z144/E144)*60</f>
        <v>0</v>
      </c>
      <c r="AB144" s="2">
        <v>17</v>
      </c>
      <c r="AC144" s="2">
        <f>(AB144/E144)*60</f>
        <v>6.1427280939476061</v>
      </c>
      <c r="AD144" s="2">
        <v>23</v>
      </c>
      <c r="AE144" s="2">
        <f>(AD144/E144)*60</f>
        <v>8.3107497741644067</v>
      </c>
      <c r="AF144" s="2">
        <v>9.8000000000000007</v>
      </c>
      <c r="AG144" s="2">
        <v>6.5</v>
      </c>
      <c r="AH144" s="2">
        <f>AF144-AG144</f>
        <v>3.3000000000000007</v>
      </c>
      <c r="AI144" s="2">
        <v>7</v>
      </c>
      <c r="AJ144" s="2">
        <f>(AI144/E144)*60</f>
        <v>2.5293586269196022</v>
      </c>
      <c r="AK144" s="2">
        <v>0</v>
      </c>
      <c r="AL144" s="2">
        <v>3</v>
      </c>
      <c r="AM144" s="2">
        <f>(AL144/E144)*60</f>
        <v>1.084010840108401</v>
      </c>
      <c r="AN144" s="2" t="s">
        <v>346</v>
      </c>
      <c r="AO144" s="2">
        <v>75</v>
      </c>
      <c r="AP144" s="2">
        <v>35</v>
      </c>
      <c r="AQ144" s="14">
        <f>(AP144/E144)*60</f>
        <v>12.646793134598012</v>
      </c>
    </row>
    <row r="145" spans="1:43" x14ac:dyDescent="0.35">
      <c r="A145" s="5" t="s">
        <v>293</v>
      </c>
      <c r="B145" s="5" t="s">
        <v>108</v>
      </c>
      <c r="C145" s="2" t="s">
        <v>39</v>
      </c>
      <c r="D145" s="2">
        <v>29</v>
      </c>
      <c r="E145" s="3">
        <v>391.05</v>
      </c>
      <c r="F145" s="2">
        <v>0</v>
      </c>
      <c r="G145" s="14">
        <f>(F145/E145)*60</f>
        <v>0</v>
      </c>
      <c r="H145" s="2">
        <v>2</v>
      </c>
      <c r="I145" s="14">
        <f>(H145/E145)*60</f>
        <v>0.30686612965093973</v>
      </c>
      <c r="J145" s="2">
        <v>2</v>
      </c>
      <c r="K145" s="2">
        <v>0</v>
      </c>
      <c r="L145" s="2">
        <v>35</v>
      </c>
      <c r="M145" s="2">
        <v>14</v>
      </c>
      <c r="N145" s="2">
        <v>0.36</v>
      </c>
      <c r="O145" s="2">
        <v>0.57999999999999996</v>
      </c>
      <c r="P145" s="2">
        <f>(O145/E145)*60</f>
        <v>8.8991177598772522E-2</v>
      </c>
      <c r="Q145" s="2">
        <v>0</v>
      </c>
      <c r="R145" s="2">
        <v>0</v>
      </c>
      <c r="S145" s="2">
        <v>0</v>
      </c>
      <c r="T145" s="2">
        <v>0</v>
      </c>
      <c r="U145" s="2">
        <v>11</v>
      </c>
      <c r="V145" s="12">
        <v>10</v>
      </c>
      <c r="W145" s="2">
        <v>21</v>
      </c>
      <c r="X145" s="2">
        <v>5</v>
      </c>
      <c r="Y145" s="2">
        <v>0</v>
      </c>
      <c r="Z145" s="2">
        <f>Y145-X145</f>
        <v>-5</v>
      </c>
      <c r="AA145" s="2">
        <f>(Z145/E145)*60</f>
        <v>-0.76716532412734939</v>
      </c>
      <c r="AB145" s="2">
        <v>84</v>
      </c>
      <c r="AC145" s="2">
        <f>(AB145/E145)*60</f>
        <v>12.888377445339469</v>
      </c>
      <c r="AD145" s="2">
        <v>57</v>
      </c>
      <c r="AE145" s="2">
        <f>(AD145/E145)*60</f>
        <v>8.7456846950517839</v>
      </c>
      <c r="AF145" s="2">
        <v>12</v>
      </c>
      <c r="AG145" s="2">
        <v>30.5</v>
      </c>
      <c r="AH145" s="2">
        <f>AF145-AG145</f>
        <v>-18.5</v>
      </c>
      <c r="AI145" s="2">
        <v>0</v>
      </c>
      <c r="AJ145" s="2">
        <f>(AI145/E145)*60</f>
        <v>0</v>
      </c>
      <c r="AK145" s="2">
        <v>1</v>
      </c>
      <c r="AL145" s="2">
        <v>3</v>
      </c>
      <c r="AM145" s="2">
        <f>(AL145/E145)*60</f>
        <v>0.46029919447640966</v>
      </c>
      <c r="AN145" s="2" t="s">
        <v>294</v>
      </c>
      <c r="AO145" s="2">
        <v>124</v>
      </c>
      <c r="AP145" s="2">
        <v>74</v>
      </c>
      <c r="AQ145" s="14">
        <f>(AP145/E145)*60</f>
        <v>11.35404679708477</v>
      </c>
    </row>
    <row r="146" spans="1:43" x14ac:dyDescent="0.35">
      <c r="A146" s="5" t="s">
        <v>367</v>
      </c>
      <c r="B146" s="5" t="s">
        <v>78</v>
      </c>
      <c r="C146" s="2" t="s">
        <v>39</v>
      </c>
      <c r="D146" s="2">
        <v>29</v>
      </c>
      <c r="E146" s="3">
        <v>390.48333333333335</v>
      </c>
      <c r="F146" s="2">
        <v>0</v>
      </c>
      <c r="G146" s="14">
        <f>(F146/E146)*60</f>
        <v>0</v>
      </c>
      <c r="H146" s="2">
        <v>2</v>
      </c>
      <c r="I146" s="14">
        <f>(H146/E146)*60</f>
        <v>0.30731145161978746</v>
      </c>
      <c r="J146" s="2">
        <v>2</v>
      </c>
      <c r="K146" s="2">
        <v>1</v>
      </c>
      <c r="L146" s="2">
        <v>43</v>
      </c>
      <c r="M146" s="2">
        <v>18</v>
      </c>
      <c r="N146" s="2">
        <v>0.54</v>
      </c>
      <c r="O146" s="2">
        <v>1.23</v>
      </c>
      <c r="P146" s="2">
        <f>(O146/E146)*60</f>
        <v>0.18899654274616925</v>
      </c>
      <c r="Q146" s="2">
        <v>0</v>
      </c>
      <c r="R146" s="2">
        <v>0</v>
      </c>
      <c r="S146" s="2">
        <v>0</v>
      </c>
      <c r="T146" s="2">
        <v>0</v>
      </c>
      <c r="U146" s="2">
        <v>9</v>
      </c>
      <c r="V146" s="12">
        <v>5</v>
      </c>
      <c r="W146" s="2">
        <v>14</v>
      </c>
      <c r="X146" s="2">
        <v>4</v>
      </c>
      <c r="Y146" s="2">
        <v>0</v>
      </c>
      <c r="Z146" s="2">
        <f>Y146-X146</f>
        <v>-4</v>
      </c>
      <c r="AA146" s="2">
        <f>(Z146/E146)*60</f>
        <v>-0.61462290323957491</v>
      </c>
      <c r="AB146" s="2">
        <v>141</v>
      </c>
      <c r="AC146" s="2">
        <f>(AB146/E146)*60</f>
        <v>21.665457339195015</v>
      </c>
      <c r="AD146" s="2">
        <v>99</v>
      </c>
      <c r="AE146" s="2">
        <f>(AD146/E146)*60</f>
        <v>15.211916855179478</v>
      </c>
      <c r="AF146" s="2">
        <v>13.3</v>
      </c>
      <c r="AG146" s="2">
        <v>25.6</v>
      </c>
      <c r="AH146" s="2">
        <f>AF146-AG146</f>
        <v>-12.3</v>
      </c>
      <c r="AI146" s="2">
        <v>1</v>
      </c>
      <c r="AJ146" s="2">
        <f>(AI146/E146)*60</f>
        <v>0.15365572580989373</v>
      </c>
      <c r="AK146" s="2">
        <v>2</v>
      </c>
      <c r="AL146" s="2">
        <v>2</v>
      </c>
      <c r="AM146" s="2">
        <f>(AL146/E146)*60</f>
        <v>0.30731145161978746</v>
      </c>
      <c r="AN146" s="2" t="s">
        <v>368</v>
      </c>
      <c r="AO146" s="2">
        <v>140</v>
      </c>
      <c r="AP146" s="2">
        <v>64</v>
      </c>
      <c r="AQ146" s="14">
        <f>(AP146/E146)*60</f>
        <v>9.8339664518331986</v>
      </c>
    </row>
    <row r="147" spans="1:43" x14ac:dyDescent="0.35">
      <c r="A147" s="5" t="s">
        <v>155</v>
      </c>
      <c r="B147" s="5" t="s">
        <v>34</v>
      </c>
      <c r="C147" s="2" t="s">
        <v>39</v>
      </c>
      <c r="D147" s="2">
        <v>28</v>
      </c>
      <c r="E147" s="3">
        <v>499.96666666666664</v>
      </c>
      <c r="F147" s="2">
        <v>1</v>
      </c>
      <c r="G147" s="14">
        <f>(F147/E147)*60</f>
        <v>0.12000800053336891</v>
      </c>
      <c r="H147" s="2">
        <v>4</v>
      </c>
      <c r="I147" s="14">
        <f>(H147/E147)*60</f>
        <v>0.48003200213347563</v>
      </c>
      <c r="J147" s="2">
        <v>5</v>
      </c>
      <c r="K147" s="2">
        <v>4</v>
      </c>
      <c r="L147" s="2">
        <v>80</v>
      </c>
      <c r="M147" s="2">
        <v>37</v>
      </c>
      <c r="N147" s="2">
        <v>0.98</v>
      </c>
      <c r="O147" s="2">
        <v>3.42</v>
      </c>
      <c r="P147" s="2">
        <f>(O147/E147)*60</f>
        <v>0.41042736182412165</v>
      </c>
      <c r="Q147" s="2">
        <v>0</v>
      </c>
      <c r="R147" s="2">
        <v>0</v>
      </c>
      <c r="S147" s="2">
        <v>0</v>
      </c>
      <c r="T147" s="2">
        <v>0</v>
      </c>
      <c r="U147" s="2">
        <v>7</v>
      </c>
      <c r="V147" s="12">
        <v>21</v>
      </c>
      <c r="W147" s="2">
        <v>14</v>
      </c>
      <c r="X147" s="2">
        <v>5</v>
      </c>
      <c r="Y147" s="2">
        <v>9</v>
      </c>
      <c r="Z147" s="2">
        <f>Y147-X147</f>
        <v>4</v>
      </c>
      <c r="AA147" s="2">
        <f>(Z147/E147)*60</f>
        <v>0.48003200213347563</v>
      </c>
      <c r="AB147" s="2">
        <v>144</v>
      </c>
      <c r="AC147" s="2">
        <f>(AB147/E147)*60</f>
        <v>17.281152076805121</v>
      </c>
      <c r="AD147" s="2">
        <v>102</v>
      </c>
      <c r="AE147" s="2">
        <f>(AD147/E147)*60</f>
        <v>12.240816054403627</v>
      </c>
      <c r="AF147" s="2">
        <v>20.5</v>
      </c>
      <c r="AG147" s="2">
        <v>23.4</v>
      </c>
      <c r="AH147" s="2">
        <f>AF147-AG147</f>
        <v>-2.8999999999999986</v>
      </c>
      <c r="AI147" s="2">
        <v>4</v>
      </c>
      <c r="AJ147" s="2">
        <f>(AI147/E147)*60</f>
        <v>0.48003200213347563</v>
      </c>
      <c r="AK147" s="2">
        <v>4</v>
      </c>
      <c r="AL147" s="2">
        <v>8</v>
      </c>
      <c r="AM147" s="2">
        <f>(AL147/E147)*60</f>
        <v>0.96006400426695127</v>
      </c>
      <c r="AN147" s="2" t="s">
        <v>156</v>
      </c>
      <c r="AO147" s="2">
        <v>216</v>
      </c>
      <c r="AP147" s="2">
        <v>122</v>
      </c>
      <c r="AQ147" s="14">
        <f>(AP147/E147)*60</f>
        <v>14.640976065071007</v>
      </c>
    </row>
    <row r="148" spans="1:43" x14ac:dyDescent="0.35">
      <c r="A148" s="5" t="s">
        <v>250</v>
      </c>
      <c r="B148" s="5" t="s">
        <v>71</v>
      </c>
      <c r="C148" s="2" t="s">
        <v>39</v>
      </c>
      <c r="D148" s="2">
        <v>27</v>
      </c>
      <c r="E148" s="3">
        <v>463.56666666666666</v>
      </c>
      <c r="F148" s="2">
        <v>1</v>
      </c>
      <c r="G148" s="14">
        <f>(F148/E148)*60</f>
        <v>0.12943122168692028</v>
      </c>
      <c r="H148" s="2">
        <v>2</v>
      </c>
      <c r="I148" s="14">
        <f>(H148/E148)*60</f>
        <v>0.25886244337384057</v>
      </c>
      <c r="J148" s="2">
        <v>3</v>
      </c>
      <c r="K148" s="2">
        <v>6</v>
      </c>
      <c r="L148" s="2">
        <v>57</v>
      </c>
      <c r="M148" s="2">
        <v>30</v>
      </c>
      <c r="N148" s="2">
        <v>1.26</v>
      </c>
      <c r="O148" s="2">
        <v>2.78</v>
      </c>
      <c r="P148" s="2">
        <f>(O148/E148)*60</f>
        <v>0.35981879628963831</v>
      </c>
      <c r="Q148" s="2">
        <v>0</v>
      </c>
      <c r="R148" s="2">
        <v>0</v>
      </c>
      <c r="S148" s="2">
        <v>0</v>
      </c>
      <c r="T148" s="2">
        <v>0</v>
      </c>
      <c r="U148" s="2">
        <v>4</v>
      </c>
      <c r="V148" s="12">
        <v>14</v>
      </c>
      <c r="W148" s="2">
        <v>18</v>
      </c>
      <c r="X148" s="2">
        <v>6</v>
      </c>
      <c r="Y148" s="2">
        <v>7</v>
      </c>
      <c r="Z148" s="2">
        <f>Y148-X148</f>
        <v>1</v>
      </c>
      <c r="AA148" s="2">
        <f>(Z148/E148)*60</f>
        <v>0.12943122168692028</v>
      </c>
      <c r="AB148" s="2">
        <v>173</v>
      </c>
      <c r="AC148" s="2">
        <f>(AB148/E148)*60</f>
        <v>22.391601351837206</v>
      </c>
      <c r="AD148" s="2">
        <v>93</v>
      </c>
      <c r="AE148" s="2">
        <f>(AD148/E148)*60</f>
        <v>12.037103616883583</v>
      </c>
      <c r="AF148" s="2">
        <v>24.9</v>
      </c>
      <c r="AG148" s="2">
        <v>18.2</v>
      </c>
      <c r="AH148" s="2">
        <f>AF148-AG148</f>
        <v>6.6999999999999993</v>
      </c>
      <c r="AI148" s="2">
        <v>6</v>
      </c>
      <c r="AJ148" s="2">
        <f>(AI148/E148)*60</f>
        <v>0.77658733012152148</v>
      </c>
      <c r="AK148" s="2">
        <v>4</v>
      </c>
      <c r="AL148" s="2">
        <v>3</v>
      </c>
      <c r="AM148" s="2">
        <f>(AL148/E148)*60</f>
        <v>0.38829366506076074</v>
      </c>
      <c r="AN148" s="2" t="s">
        <v>170</v>
      </c>
      <c r="AO148" s="2">
        <v>253</v>
      </c>
      <c r="AP148" s="2">
        <v>153</v>
      </c>
      <c r="AQ148" s="14">
        <f>(AP148/E148)*60</f>
        <v>19.8029769180988</v>
      </c>
    </row>
    <row r="149" spans="1:43" x14ac:dyDescent="0.35">
      <c r="A149" s="5" t="s">
        <v>43</v>
      </c>
      <c r="B149" s="5" t="s">
        <v>30</v>
      </c>
      <c r="C149" s="2" t="s">
        <v>31</v>
      </c>
      <c r="D149" s="2">
        <v>27</v>
      </c>
      <c r="E149" s="3">
        <v>502.25</v>
      </c>
      <c r="F149" s="2">
        <v>18</v>
      </c>
      <c r="G149" s="14">
        <f>(F149/E149)*60</f>
        <v>2.150323544051767</v>
      </c>
      <c r="H149" s="2">
        <v>14</v>
      </c>
      <c r="I149" s="14">
        <f>(H149/E149)*60</f>
        <v>1.6724738675958188</v>
      </c>
      <c r="J149" s="2">
        <v>32</v>
      </c>
      <c r="K149" s="2">
        <v>41</v>
      </c>
      <c r="L149" s="2">
        <v>165</v>
      </c>
      <c r="M149" s="2">
        <v>100</v>
      </c>
      <c r="N149" s="2">
        <v>2.61</v>
      </c>
      <c r="O149" s="2">
        <v>14.3</v>
      </c>
      <c r="P149" s="2">
        <f>(O149/E149)*60</f>
        <v>1.708312593330015</v>
      </c>
      <c r="Q149" s="2">
        <v>454</v>
      </c>
      <c r="R149" s="2">
        <v>233</v>
      </c>
      <c r="S149" s="2">
        <v>221</v>
      </c>
      <c r="T149" s="7">
        <v>0.51300000000000001</v>
      </c>
      <c r="U149" s="2">
        <v>24</v>
      </c>
      <c r="V149" s="12">
        <v>38</v>
      </c>
      <c r="W149" s="2">
        <v>14</v>
      </c>
      <c r="X149" s="2">
        <v>7</v>
      </c>
      <c r="Y149" s="2">
        <v>12</v>
      </c>
      <c r="Z149" s="2">
        <f>Y149-X149</f>
        <v>5</v>
      </c>
      <c r="AA149" s="2">
        <f>(Z149/E149)*60</f>
        <v>0.59731209556993525</v>
      </c>
      <c r="AB149" s="2">
        <v>126</v>
      </c>
      <c r="AC149" s="2">
        <f>(AB149/E149)*60</f>
        <v>15.052264808362368</v>
      </c>
      <c r="AD149" s="2">
        <v>109</v>
      </c>
      <c r="AE149" s="2">
        <f>(AD149/E149)*60</f>
        <v>13.021403683424589</v>
      </c>
      <c r="AF149" s="2">
        <v>32.1</v>
      </c>
      <c r="AG149" s="2">
        <v>24</v>
      </c>
      <c r="AH149" s="2">
        <f>AF149-AG149</f>
        <v>8.1000000000000014</v>
      </c>
      <c r="AI149" s="2">
        <v>41</v>
      </c>
      <c r="AJ149" s="2">
        <f>(AI149/E149)*60</f>
        <v>4.8979591836734686</v>
      </c>
      <c r="AK149" s="2">
        <v>15</v>
      </c>
      <c r="AL149" s="2">
        <v>27</v>
      </c>
      <c r="AM149" s="2">
        <f>(AL149/E149)*60</f>
        <v>3.2254853160776507</v>
      </c>
      <c r="AN149" s="2" t="s">
        <v>44</v>
      </c>
      <c r="AO149" s="2">
        <v>365</v>
      </c>
      <c r="AP149" s="2">
        <v>160</v>
      </c>
      <c r="AQ149" s="14">
        <f>(AP149/E149)*60</f>
        <v>19.113987058237928</v>
      </c>
    </row>
    <row r="150" spans="1:43" x14ac:dyDescent="0.35">
      <c r="A150" s="5" t="s">
        <v>126</v>
      </c>
      <c r="B150" s="5" t="s">
        <v>71</v>
      </c>
      <c r="C150" s="2" t="s">
        <v>31</v>
      </c>
      <c r="D150" s="2">
        <v>27</v>
      </c>
      <c r="E150" s="3">
        <v>457.9</v>
      </c>
      <c r="F150" s="2">
        <v>7</v>
      </c>
      <c r="G150" s="14">
        <f>(F150/E150)*60</f>
        <v>0.91723083642716763</v>
      </c>
      <c r="H150" s="2">
        <v>8</v>
      </c>
      <c r="I150" s="14">
        <f>(H150/E150)*60</f>
        <v>1.0482638130596202</v>
      </c>
      <c r="J150" s="2">
        <v>15</v>
      </c>
      <c r="K150" s="2">
        <v>21</v>
      </c>
      <c r="L150" s="2">
        <v>100</v>
      </c>
      <c r="M150" s="2">
        <v>56</v>
      </c>
      <c r="N150" s="2">
        <v>2.33</v>
      </c>
      <c r="O150" s="2">
        <v>10.1</v>
      </c>
      <c r="P150" s="2">
        <f>(O150/E150)*60</f>
        <v>1.3234330639877703</v>
      </c>
      <c r="Q150" s="2">
        <v>3</v>
      </c>
      <c r="R150" s="2">
        <v>2</v>
      </c>
      <c r="S150" s="2">
        <v>1</v>
      </c>
      <c r="T150" s="7">
        <v>0.66700000000000004</v>
      </c>
      <c r="U150" s="2">
        <v>9</v>
      </c>
      <c r="V150" s="12">
        <v>24</v>
      </c>
      <c r="W150" s="2">
        <v>15</v>
      </c>
      <c r="X150" s="2">
        <v>0</v>
      </c>
      <c r="Y150" s="2">
        <v>4</v>
      </c>
      <c r="Z150" s="2">
        <f>Y150-X150</f>
        <v>4</v>
      </c>
      <c r="AA150" s="2">
        <f>(Z150/E150)*60</f>
        <v>0.52413190652981012</v>
      </c>
      <c r="AB150" s="2">
        <v>79</v>
      </c>
      <c r="AC150" s="2">
        <f>(AB150/E150)*60</f>
        <v>10.351605153963749</v>
      </c>
      <c r="AD150" s="2">
        <v>109</v>
      </c>
      <c r="AE150" s="2">
        <f>(AD150/E150)*60</f>
        <v>14.282594452937325</v>
      </c>
      <c r="AF150" s="2">
        <v>27.5</v>
      </c>
      <c r="AG150" s="2">
        <v>22.9</v>
      </c>
      <c r="AH150" s="2">
        <f>AF150-AG150</f>
        <v>4.6000000000000014</v>
      </c>
      <c r="AI150" s="2">
        <v>21</v>
      </c>
      <c r="AJ150" s="2">
        <f>(AI150/E150)*60</f>
        <v>2.7516925092815026</v>
      </c>
      <c r="AK150" s="2">
        <v>16</v>
      </c>
      <c r="AL150" s="2">
        <v>12</v>
      </c>
      <c r="AM150" s="2">
        <f>(AL150/E150)*60</f>
        <v>1.57239571958943</v>
      </c>
      <c r="AN150" s="2" t="s">
        <v>89</v>
      </c>
      <c r="AO150" s="2">
        <v>272</v>
      </c>
      <c r="AP150" s="2">
        <v>139</v>
      </c>
      <c r="AQ150" s="14">
        <f>(AP150/E150)*60</f>
        <v>18.2135837519109</v>
      </c>
    </row>
    <row r="151" spans="1:43" x14ac:dyDescent="0.35">
      <c r="A151" s="5" t="s">
        <v>374</v>
      </c>
      <c r="B151" s="5" t="s">
        <v>53</v>
      </c>
      <c r="C151" s="2" t="s">
        <v>31</v>
      </c>
      <c r="D151" s="2">
        <v>27</v>
      </c>
      <c r="E151" s="3">
        <v>158.41666666666666</v>
      </c>
      <c r="F151" s="2">
        <v>3</v>
      </c>
      <c r="G151" s="14">
        <f>(F151/E151)*60</f>
        <v>1.1362440820620725</v>
      </c>
      <c r="H151" s="2">
        <v>0</v>
      </c>
      <c r="I151" s="14">
        <f>(H151/E151)*60</f>
        <v>0</v>
      </c>
      <c r="J151" s="2">
        <v>3</v>
      </c>
      <c r="K151" s="2">
        <v>10</v>
      </c>
      <c r="L151" s="2">
        <v>36</v>
      </c>
      <c r="M151" s="2">
        <v>23</v>
      </c>
      <c r="N151" s="2">
        <v>1.71</v>
      </c>
      <c r="O151" s="2">
        <v>3.25</v>
      </c>
      <c r="P151" s="2">
        <f>(O151/E151)*60</f>
        <v>1.2309310889005789</v>
      </c>
      <c r="Q151" s="2">
        <v>2</v>
      </c>
      <c r="R151" s="2">
        <v>1</v>
      </c>
      <c r="S151" s="2">
        <v>1</v>
      </c>
      <c r="T151" s="8">
        <v>0.5</v>
      </c>
      <c r="U151" s="2">
        <v>0</v>
      </c>
      <c r="V151" s="12">
        <v>4</v>
      </c>
      <c r="W151" s="2">
        <v>4</v>
      </c>
      <c r="X151" s="2">
        <v>0</v>
      </c>
      <c r="Y151" s="2">
        <v>2</v>
      </c>
      <c r="Z151" s="2">
        <f>Y151-X151</f>
        <v>2</v>
      </c>
      <c r="AA151" s="2">
        <f>(Z151/E151)*60</f>
        <v>0.75749605470804848</v>
      </c>
      <c r="AB151" s="2">
        <v>24</v>
      </c>
      <c r="AC151" s="2">
        <f>(AB151/E151)*60</f>
        <v>9.08995265649658</v>
      </c>
      <c r="AD151" s="2">
        <v>24</v>
      </c>
      <c r="AE151" s="2">
        <f>(AD151/E151)*60</f>
        <v>9.08995265649658</v>
      </c>
      <c r="AF151" s="2">
        <v>9.1</v>
      </c>
      <c r="AG151" s="2">
        <v>5.8</v>
      </c>
      <c r="AH151" s="2">
        <f>AF151-AG151</f>
        <v>3.3</v>
      </c>
      <c r="AI151" s="2">
        <v>10</v>
      </c>
      <c r="AJ151" s="2">
        <f>(AI151/E151)*60</f>
        <v>3.787480273540242</v>
      </c>
      <c r="AK151" s="2">
        <v>1</v>
      </c>
      <c r="AL151" s="2">
        <v>6</v>
      </c>
      <c r="AM151" s="2">
        <f>(AL151/E151)*60</f>
        <v>2.272488164124145</v>
      </c>
      <c r="AN151" s="2" t="s">
        <v>375</v>
      </c>
      <c r="AO151" s="2">
        <v>81</v>
      </c>
      <c r="AP151" s="2">
        <v>40</v>
      </c>
      <c r="AQ151" s="14">
        <f>(AP151/E151)*60</f>
        <v>15.149921094160968</v>
      </c>
    </row>
    <row r="152" spans="1:43" x14ac:dyDescent="0.35">
      <c r="A152" s="5" t="s">
        <v>335</v>
      </c>
      <c r="B152" s="5" t="s">
        <v>78</v>
      </c>
      <c r="C152" s="2" t="s">
        <v>31</v>
      </c>
      <c r="D152" s="2">
        <v>27</v>
      </c>
      <c r="E152" s="3">
        <v>196.68333333333334</v>
      </c>
      <c r="F152" s="2">
        <v>0</v>
      </c>
      <c r="G152" s="14">
        <f>(F152/E152)*60</f>
        <v>0</v>
      </c>
      <c r="H152" s="2">
        <v>1</v>
      </c>
      <c r="I152" s="14">
        <f>(H152/E152)*60</f>
        <v>0.30505889331412589</v>
      </c>
      <c r="J152" s="2">
        <v>1</v>
      </c>
      <c r="K152" s="2">
        <v>0</v>
      </c>
      <c r="L152" s="2">
        <v>20</v>
      </c>
      <c r="M152" s="2">
        <v>13</v>
      </c>
      <c r="N152" s="2">
        <v>0.56000000000000005</v>
      </c>
      <c r="O152" s="2">
        <v>0.86</v>
      </c>
      <c r="P152" s="2">
        <f>(O152/E152)*60</f>
        <v>0.26235064825014826</v>
      </c>
      <c r="Q152" s="2">
        <v>0</v>
      </c>
      <c r="R152" s="2">
        <v>0</v>
      </c>
      <c r="S152" s="2">
        <v>0</v>
      </c>
      <c r="T152" s="2">
        <v>0</v>
      </c>
      <c r="U152" s="2">
        <v>8</v>
      </c>
      <c r="V152" s="12">
        <v>6</v>
      </c>
      <c r="W152" s="2">
        <v>14</v>
      </c>
      <c r="X152" s="2">
        <v>1</v>
      </c>
      <c r="Y152" s="2">
        <v>0</v>
      </c>
      <c r="Z152" s="2">
        <f>Y152-X152</f>
        <v>-1</v>
      </c>
      <c r="AA152" s="2">
        <f>(Z152/E152)*60</f>
        <v>-0.30505889331412589</v>
      </c>
      <c r="AB152" s="2">
        <v>26</v>
      </c>
      <c r="AC152" s="2">
        <f>(AB152/E152)*60</f>
        <v>7.9315312261672748</v>
      </c>
      <c r="AD152" s="2">
        <v>67</v>
      </c>
      <c r="AE152" s="2">
        <f>(AD152/E152)*60</f>
        <v>20.438945852046437</v>
      </c>
      <c r="AF152" s="2">
        <v>6.9</v>
      </c>
      <c r="AG152" s="2">
        <v>14.2</v>
      </c>
      <c r="AH152" s="2">
        <f>AF152-AG152</f>
        <v>-7.2999999999999989</v>
      </c>
      <c r="AI152" s="2">
        <v>0</v>
      </c>
      <c r="AJ152" s="2">
        <f>(AI152/E152)*60</f>
        <v>0</v>
      </c>
      <c r="AK152" s="2">
        <v>5</v>
      </c>
      <c r="AL152" s="2">
        <v>4</v>
      </c>
      <c r="AM152" s="2">
        <f>(AL152/E152)*60</f>
        <v>1.2202355732565036</v>
      </c>
      <c r="AN152" s="2" t="s">
        <v>336</v>
      </c>
      <c r="AO152" s="2">
        <v>128</v>
      </c>
      <c r="AP152" s="2">
        <v>48</v>
      </c>
      <c r="AQ152" s="14">
        <f>(AP152/E152)*60</f>
        <v>14.642826879078045</v>
      </c>
    </row>
    <row r="153" spans="1:43" x14ac:dyDescent="0.35">
      <c r="A153" s="5" t="s">
        <v>308</v>
      </c>
      <c r="B153" s="5" t="s">
        <v>108</v>
      </c>
      <c r="C153" s="2" t="s">
        <v>39</v>
      </c>
      <c r="D153" s="2">
        <v>27</v>
      </c>
      <c r="E153" s="3">
        <v>376.8</v>
      </c>
      <c r="F153" s="2">
        <v>2</v>
      </c>
      <c r="G153" s="14">
        <f>(F153/E153)*60</f>
        <v>0.31847133757961782</v>
      </c>
      <c r="H153" s="2">
        <v>2</v>
      </c>
      <c r="I153" s="14">
        <f>(H153/E153)*60</f>
        <v>0.31847133757961782</v>
      </c>
      <c r="J153" s="2">
        <v>4</v>
      </c>
      <c r="K153" s="2">
        <v>0</v>
      </c>
      <c r="L153" s="2">
        <v>60</v>
      </c>
      <c r="M153" s="2">
        <v>29</v>
      </c>
      <c r="N153" s="2">
        <v>0.32</v>
      </c>
      <c r="O153" s="2">
        <v>0.89</v>
      </c>
      <c r="P153" s="2">
        <f>(O153/E153)*60</f>
        <v>0.14171974522292993</v>
      </c>
      <c r="Q153" s="2">
        <v>0</v>
      </c>
      <c r="R153" s="2">
        <v>0</v>
      </c>
      <c r="S153" s="2">
        <v>0</v>
      </c>
      <c r="T153" s="2">
        <v>0</v>
      </c>
      <c r="U153" s="2">
        <v>8</v>
      </c>
      <c r="V153" s="12">
        <v>9</v>
      </c>
      <c r="W153" s="2">
        <v>17</v>
      </c>
      <c r="X153" s="2">
        <v>6</v>
      </c>
      <c r="Y153" s="2">
        <v>0</v>
      </c>
      <c r="Z153" s="2">
        <f>Y153-X153</f>
        <v>-6</v>
      </c>
      <c r="AA153" s="2">
        <f>(Z153/E153)*60</f>
        <v>-0.95541401273885351</v>
      </c>
      <c r="AB153" s="2">
        <v>100</v>
      </c>
      <c r="AC153" s="2">
        <f>(AB153/E153)*60</f>
        <v>15.923566878980891</v>
      </c>
      <c r="AD153" s="2">
        <v>68</v>
      </c>
      <c r="AE153" s="2">
        <f>(AD153/E153)*60</f>
        <v>10.828025477707005</v>
      </c>
      <c r="AF153" s="2">
        <v>12.9</v>
      </c>
      <c r="AG153" s="2">
        <v>27.5</v>
      </c>
      <c r="AH153" s="2">
        <f>AF153-AG153</f>
        <v>-14.6</v>
      </c>
      <c r="AI153" s="2">
        <v>0</v>
      </c>
      <c r="AJ153" s="2">
        <f>(AI153/E153)*60</f>
        <v>0</v>
      </c>
      <c r="AK153" s="2">
        <v>2</v>
      </c>
      <c r="AL153" s="2">
        <v>5</v>
      </c>
      <c r="AM153" s="2">
        <f>(AL153/E153)*60</f>
        <v>0.79617834394904452</v>
      </c>
      <c r="AN153" s="2" t="s">
        <v>178</v>
      </c>
      <c r="AO153" s="2">
        <v>151</v>
      </c>
      <c r="AP153" s="2">
        <v>84</v>
      </c>
      <c r="AQ153" s="14">
        <f>(AP153/E153)*60</f>
        <v>13.375796178343949</v>
      </c>
    </row>
    <row r="154" spans="1:43" x14ac:dyDescent="0.35">
      <c r="A154" s="5" t="s">
        <v>208</v>
      </c>
      <c r="B154" s="5" t="s">
        <v>71</v>
      </c>
      <c r="C154" s="2" t="s">
        <v>39</v>
      </c>
      <c r="D154" s="2">
        <v>27</v>
      </c>
      <c r="E154" s="3">
        <v>391.68333333333334</v>
      </c>
      <c r="F154" s="2">
        <v>1</v>
      </c>
      <c r="G154" s="14">
        <f>(F154/E154)*60</f>
        <v>0.15318497085230415</v>
      </c>
      <c r="H154" s="2">
        <v>2</v>
      </c>
      <c r="I154" s="14">
        <f>(H154/E154)*60</f>
        <v>0.3063699417046083</v>
      </c>
      <c r="J154" s="2">
        <v>3</v>
      </c>
      <c r="K154" s="2">
        <v>5</v>
      </c>
      <c r="L154" s="2">
        <v>58</v>
      </c>
      <c r="M154" s="2">
        <v>28</v>
      </c>
      <c r="N154" s="2">
        <v>0.85</v>
      </c>
      <c r="O154" s="2">
        <v>1.93</v>
      </c>
      <c r="P154" s="2">
        <f>(O154/E154)*60</f>
        <v>0.29564699374494702</v>
      </c>
      <c r="Q154" s="2">
        <v>31</v>
      </c>
      <c r="R154" s="2">
        <v>13</v>
      </c>
      <c r="S154" s="2">
        <v>18</v>
      </c>
      <c r="T154" s="7">
        <v>0.41899999999999998</v>
      </c>
      <c r="U154" s="2">
        <v>3</v>
      </c>
      <c r="V154" s="12">
        <v>17</v>
      </c>
      <c r="W154" s="2">
        <v>14</v>
      </c>
      <c r="X154" s="2">
        <v>2</v>
      </c>
      <c r="Y154" s="2">
        <v>3</v>
      </c>
      <c r="Z154" s="2">
        <f>Y154-X154</f>
        <v>1</v>
      </c>
      <c r="AA154" s="2">
        <f>(Z154/E154)*60</f>
        <v>0.15318497085230415</v>
      </c>
      <c r="AB154" s="2">
        <v>72</v>
      </c>
      <c r="AC154" s="2">
        <f>(AB154/E154)*60</f>
        <v>11.0293179013659</v>
      </c>
      <c r="AD154" s="2">
        <v>47</v>
      </c>
      <c r="AE154" s="2">
        <f>(AD154/E154)*60</f>
        <v>7.1996936300582952</v>
      </c>
      <c r="AF154" s="2">
        <v>19.399999999999999</v>
      </c>
      <c r="AG154" s="2">
        <v>23.3</v>
      </c>
      <c r="AH154" s="2">
        <f>AF154-AG154</f>
        <v>-3.9000000000000021</v>
      </c>
      <c r="AI154" s="2">
        <v>5</v>
      </c>
      <c r="AJ154" s="2">
        <f>(AI154/E154)*60</f>
        <v>0.76592485426152079</v>
      </c>
      <c r="AK154" s="2">
        <v>2</v>
      </c>
      <c r="AL154" s="2">
        <v>0</v>
      </c>
      <c r="AM154" s="2">
        <f>(AL154/E154)*60</f>
        <v>0</v>
      </c>
      <c r="AN154" s="2" t="s">
        <v>209</v>
      </c>
      <c r="AO154" s="2">
        <v>128</v>
      </c>
      <c r="AP154" s="2">
        <v>54</v>
      </c>
      <c r="AQ154" s="14">
        <f>(AP154/E154)*60</f>
        <v>8.2719884260244232</v>
      </c>
    </row>
    <row r="155" spans="1:43" x14ac:dyDescent="0.35">
      <c r="A155" s="5" t="s">
        <v>476</v>
      </c>
      <c r="B155" s="5" t="s">
        <v>122</v>
      </c>
      <c r="C155" s="2" t="s">
        <v>31</v>
      </c>
      <c r="D155" s="2">
        <v>27</v>
      </c>
      <c r="E155" s="3">
        <v>137.11666666666667</v>
      </c>
      <c r="F155" s="2">
        <v>0</v>
      </c>
      <c r="G155" s="14">
        <f>(F155/E155)*60</f>
        <v>0</v>
      </c>
      <c r="H155" s="2">
        <v>0</v>
      </c>
      <c r="I155" s="14">
        <f>(H155/E155)*60</f>
        <v>0</v>
      </c>
      <c r="J155" s="2">
        <v>0</v>
      </c>
      <c r="K155" s="2">
        <v>5</v>
      </c>
      <c r="L155" s="2">
        <v>10</v>
      </c>
      <c r="M155" s="2">
        <v>5</v>
      </c>
      <c r="N155" s="2">
        <v>1.04</v>
      </c>
      <c r="O155" s="2">
        <v>1.29</v>
      </c>
      <c r="P155" s="2">
        <f>(O155/E155)*60</f>
        <v>0.56448280053482436</v>
      </c>
      <c r="Q155" s="2">
        <v>1</v>
      </c>
      <c r="R155" s="2">
        <v>0</v>
      </c>
      <c r="S155" s="2">
        <v>1</v>
      </c>
      <c r="T155" s="2">
        <v>0</v>
      </c>
      <c r="U155" s="2">
        <v>5</v>
      </c>
      <c r="V155" s="12">
        <v>0</v>
      </c>
      <c r="W155" s="2">
        <v>5</v>
      </c>
      <c r="X155" s="2">
        <v>4</v>
      </c>
      <c r="Y155" s="2">
        <v>1</v>
      </c>
      <c r="Z155" s="2">
        <f>Y155-X155</f>
        <v>-3</v>
      </c>
      <c r="AA155" s="2">
        <f>(Z155/E155)*60</f>
        <v>-1.3127506989181961</v>
      </c>
      <c r="AB155" s="2">
        <v>6</v>
      </c>
      <c r="AC155" s="2">
        <f>(AB155/E155)*60</f>
        <v>2.6255013978363921</v>
      </c>
      <c r="AD155" s="2">
        <v>13</v>
      </c>
      <c r="AE155" s="2">
        <f>(AD155/E155)*60</f>
        <v>5.6885863619788495</v>
      </c>
      <c r="AF155" s="2">
        <v>3.66</v>
      </c>
      <c r="AG155" s="2">
        <v>7.9</v>
      </c>
      <c r="AH155" s="2">
        <f>AF155-AG155</f>
        <v>-4.24</v>
      </c>
      <c r="AI155" s="2">
        <v>5</v>
      </c>
      <c r="AJ155" s="2">
        <f>(AI155/E155)*60</f>
        <v>2.1879178315303269</v>
      </c>
      <c r="AK155" s="2">
        <v>0</v>
      </c>
      <c r="AL155" s="2">
        <v>0</v>
      </c>
      <c r="AM155" s="2">
        <f>(AL155/E155)*60</f>
        <v>0</v>
      </c>
      <c r="AN155" s="2" t="s">
        <v>477</v>
      </c>
      <c r="AO155" s="2">
        <v>27</v>
      </c>
      <c r="AP155" s="2">
        <v>10</v>
      </c>
      <c r="AQ155" s="14">
        <f>(AP155/E155)*60</f>
        <v>4.3758356630606539</v>
      </c>
    </row>
    <row r="156" spans="1:43" x14ac:dyDescent="0.35">
      <c r="A156" s="5" t="s">
        <v>228</v>
      </c>
      <c r="B156" s="5" t="s">
        <v>30</v>
      </c>
      <c r="C156" s="2" t="s">
        <v>31</v>
      </c>
      <c r="D156" s="2">
        <v>26</v>
      </c>
      <c r="E156" s="3">
        <v>365.63333333333333</v>
      </c>
      <c r="F156" s="2">
        <v>6</v>
      </c>
      <c r="G156" s="14">
        <f>(F156/E156)*60</f>
        <v>0.98459294375056983</v>
      </c>
      <c r="H156" s="2">
        <v>1</v>
      </c>
      <c r="I156" s="14">
        <f>(H156/E156)*60</f>
        <v>0.16409882395842829</v>
      </c>
      <c r="J156" s="2">
        <v>7</v>
      </c>
      <c r="K156" s="2">
        <v>22</v>
      </c>
      <c r="L156" s="2">
        <v>57</v>
      </c>
      <c r="M156" s="2">
        <v>34</v>
      </c>
      <c r="N156" s="2">
        <v>2.34</v>
      </c>
      <c r="O156" s="2">
        <v>6.4</v>
      </c>
      <c r="P156" s="2">
        <f>(O156/E156)*60</f>
        <v>1.0502324733339412</v>
      </c>
      <c r="Q156" s="2">
        <v>18</v>
      </c>
      <c r="R156" s="2">
        <v>7</v>
      </c>
      <c r="S156" s="2">
        <v>11</v>
      </c>
      <c r="T156" s="7">
        <v>0.38900000000000001</v>
      </c>
      <c r="U156" s="2">
        <v>3</v>
      </c>
      <c r="V156" s="12">
        <v>16</v>
      </c>
      <c r="W156" s="2">
        <v>13</v>
      </c>
      <c r="X156" s="2">
        <v>5</v>
      </c>
      <c r="Y156" s="2">
        <v>6</v>
      </c>
      <c r="Z156" s="2">
        <f>Y156-X156</f>
        <v>1</v>
      </c>
      <c r="AA156" s="2">
        <f>(Z156/E156)*60</f>
        <v>0.16409882395842829</v>
      </c>
      <c r="AB156" s="2">
        <v>45</v>
      </c>
      <c r="AC156" s="2">
        <f>(AB156/E156)*60</f>
        <v>7.3844470781292735</v>
      </c>
      <c r="AD156" s="2">
        <v>72</v>
      </c>
      <c r="AE156" s="2">
        <f>(AD156/E156)*60</f>
        <v>11.815115325006836</v>
      </c>
      <c r="AF156" s="2">
        <v>17.8</v>
      </c>
      <c r="AG156" s="2">
        <v>18</v>
      </c>
      <c r="AH156" s="2">
        <f>AF156-AG156</f>
        <v>-0.19999999999999929</v>
      </c>
      <c r="AI156" s="2">
        <v>22</v>
      </c>
      <c r="AJ156" s="2">
        <f>(AI156/E156)*60</f>
        <v>3.6101741270854228</v>
      </c>
      <c r="AK156" s="2">
        <v>7</v>
      </c>
      <c r="AL156" s="2">
        <v>6</v>
      </c>
      <c r="AM156" s="2">
        <f>(AL156/E156)*60</f>
        <v>0.98459294375056983</v>
      </c>
      <c r="AN156" s="2" t="s">
        <v>229</v>
      </c>
      <c r="AO156" s="2">
        <v>197</v>
      </c>
      <c r="AP156" s="2">
        <v>103</v>
      </c>
      <c r="AQ156" s="14">
        <f>(AP156/E156)*60</f>
        <v>16.902178867718114</v>
      </c>
    </row>
    <row r="157" spans="1:43" x14ac:dyDescent="0.35">
      <c r="A157" s="5" t="s">
        <v>386</v>
      </c>
      <c r="B157" s="5" t="s">
        <v>122</v>
      </c>
      <c r="C157" s="2" t="s">
        <v>31</v>
      </c>
      <c r="D157" s="2">
        <v>26</v>
      </c>
      <c r="E157" s="3">
        <v>332.81666666666666</v>
      </c>
      <c r="F157" s="2">
        <v>2</v>
      </c>
      <c r="G157" s="14">
        <f>(F157/E157)*60</f>
        <v>0.36055886624267613</v>
      </c>
      <c r="H157" s="2">
        <v>0</v>
      </c>
      <c r="I157" s="14">
        <f>(H157/E157)*60</f>
        <v>0</v>
      </c>
      <c r="J157" s="2">
        <v>2</v>
      </c>
      <c r="K157" s="2">
        <v>7</v>
      </c>
      <c r="L157" s="2">
        <v>28</v>
      </c>
      <c r="M157" s="2">
        <v>19</v>
      </c>
      <c r="N157" s="2">
        <v>1.81</v>
      </c>
      <c r="O157" s="2">
        <v>2.65</v>
      </c>
      <c r="P157" s="2">
        <f>(O157/E157)*60</f>
        <v>0.47774049777154587</v>
      </c>
      <c r="Q157" s="2">
        <v>1</v>
      </c>
      <c r="R157" s="2">
        <v>0</v>
      </c>
      <c r="S157" s="2">
        <v>1</v>
      </c>
      <c r="T157" s="2">
        <v>0</v>
      </c>
      <c r="U157" s="2">
        <v>10</v>
      </c>
      <c r="V157" s="12">
        <v>3</v>
      </c>
      <c r="W157" s="2">
        <v>13</v>
      </c>
      <c r="X157" s="2">
        <v>0</v>
      </c>
      <c r="Y157" s="2">
        <v>4</v>
      </c>
      <c r="Z157" s="2">
        <f>Y157-X157</f>
        <v>4</v>
      </c>
      <c r="AA157" s="2">
        <f>(Z157/E157)*60</f>
        <v>0.72111773248535227</v>
      </c>
      <c r="AB157" s="2">
        <v>41</v>
      </c>
      <c r="AC157" s="2">
        <f>(AB157/E157)*60</f>
        <v>7.3914567579748613</v>
      </c>
      <c r="AD157" s="2">
        <v>59</v>
      </c>
      <c r="AE157" s="2">
        <f>(AD157/E157)*60</f>
        <v>10.636486554158948</v>
      </c>
      <c r="AF157" s="2">
        <v>12.8</v>
      </c>
      <c r="AG157" s="2">
        <v>19.5</v>
      </c>
      <c r="AH157" s="2">
        <f>AF157-AG157</f>
        <v>-6.6999999999999993</v>
      </c>
      <c r="AI157" s="2">
        <v>7</v>
      </c>
      <c r="AJ157" s="2">
        <f>(AI157/E157)*60</f>
        <v>1.2619560318493666</v>
      </c>
      <c r="AK157" s="2">
        <v>5</v>
      </c>
      <c r="AL157" s="2">
        <v>4</v>
      </c>
      <c r="AM157" s="2">
        <f>(AL157/E157)*60</f>
        <v>0.72111773248535227</v>
      </c>
      <c r="AN157" s="2" t="s">
        <v>387</v>
      </c>
      <c r="AO157" s="2">
        <v>181</v>
      </c>
      <c r="AP157" s="2">
        <v>83</v>
      </c>
      <c r="AQ157" s="14">
        <f>(AP157/E157)*60</f>
        <v>14.963192949071059</v>
      </c>
    </row>
    <row r="158" spans="1:43" x14ac:dyDescent="0.35">
      <c r="A158" s="5" t="s">
        <v>222</v>
      </c>
      <c r="B158" s="5" t="s">
        <v>46</v>
      </c>
      <c r="C158" s="2" t="s">
        <v>31</v>
      </c>
      <c r="D158" s="2">
        <v>26</v>
      </c>
      <c r="E158" s="3">
        <v>320.89999999999998</v>
      </c>
      <c r="F158" s="2">
        <v>9</v>
      </c>
      <c r="G158" s="14">
        <f>(F158/E158)*60</f>
        <v>1.6827672172016206</v>
      </c>
      <c r="H158" s="2">
        <v>4</v>
      </c>
      <c r="I158" s="14">
        <f>(H158/E158)*60</f>
        <v>0.747896540978498</v>
      </c>
      <c r="J158" s="2">
        <v>13</v>
      </c>
      <c r="K158" s="2">
        <v>11</v>
      </c>
      <c r="L158" s="2">
        <v>68</v>
      </c>
      <c r="M158" s="2">
        <v>39</v>
      </c>
      <c r="N158" s="2">
        <v>2.4900000000000002</v>
      </c>
      <c r="O158" s="2">
        <v>5.5</v>
      </c>
      <c r="P158" s="2">
        <f>(O158/E158)*60</f>
        <v>1.0283577438454348</v>
      </c>
      <c r="Q158" s="2">
        <v>178</v>
      </c>
      <c r="R158" s="2">
        <v>91</v>
      </c>
      <c r="S158" s="2">
        <v>87</v>
      </c>
      <c r="T158" s="7">
        <v>0.51100000000000001</v>
      </c>
      <c r="U158" s="2">
        <v>9</v>
      </c>
      <c r="V158" s="12">
        <v>16</v>
      </c>
      <c r="W158" s="2">
        <v>7</v>
      </c>
      <c r="X158" s="2">
        <v>4</v>
      </c>
      <c r="Y158" s="2">
        <v>3</v>
      </c>
      <c r="Z158" s="2">
        <f>Y158-X158</f>
        <v>-1</v>
      </c>
      <c r="AA158" s="2">
        <f>(Z158/E158)*60</f>
        <v>-0.1869741352446245</v>
      </c>
      <c r="AB158" s="2">
        <v>41</v>
      </c>
      <c r="AC158" s="2">
        <f>(AB158/E158)*60</f>
        <v>7.6659395450296053</v>
      </c>
      <c r="AD158" s="2">
        <v>63</v>
      </c>
      <c r="AE158" s="2">
        <f>(AD158/E158)*60</f>
        <v>11.779370520411344</v>
      </c>
      <c r="AF158" s="2">
        <v>14.3</v>
      </c>
      <c r="AG158" s="2">
        <v>19.100000000000001</v>
      </c>
      <c r="AH158" s="2">
        <f>AF158-AG158</f>
        <v>-4.8000000000000007</v>
      </c>
      <c r="AI158" s="2">
        <v>11</v>
      </c>
      <c r="AJ158" s="2">
        <f>(AI158/E158)*60</f>
        <v>2.0567154876908695</v>
      </c>
      <c r="AK158" s="2">
        <v>2</v>
      </c>
      <c r="AL158" s="2">
        <v>9</v>
      </c>
      <c r="AM158" s="2">
        <f>(AL158/E158)*60</f>
        <v>1.6827672172016206</v>
      </c>
      <c r="AN158" s="2" t="s">
        <v>178</v>
      </c>
      <c r="AO158" s="2">
        <v>174</v>
      </c>
      <c r="AP158" s="2">
        <v>70</v>
      </c>
      <c r="AQ158" s="14">
        <f>(AP158/E158)*60</f>
        <v>13.088189467123716</v>
      </c>
    </row>
    <row r="159" spans="1:43" x14ac:dyDescent="0.35">
      <c r="A159" s="5" t="s">
        <v>360</v>
      </c>
      <c r="B159" s="5" t="s">
        <v>105</v>
      </c>
      <c r="C159" s="2" t="s">
        <v>39</v>
      </c>
      <c r="D159" s="2">
        <v>25</v>
      </c>
      <c r="E159" s="3">
        <v>258.91666666666669</v>
      </c>
      <c r="F159" s="2">
        <v>0</v>
      </c>
      <c r="G159" s="14">
        <f>(F159/E159)*60</f>
        <v>0</v>
      </c>
      <c r="H159" s="2">
        <v>1</v>
      </c>
      <c r="I159" s="14">
        <f>(H159/E159)*60</f>
        <v>0.23173479240424846</v>
      </c>
      <c r="J159" s="2">
        <v>1</v>
      </c>
      <c r="K159" s="2">
        <v>0</v>
      </c>
      <c r="L159" s="2">
        <v>24</v>
      </c>
      <c r="M159" s="2">
        <v>9</v>
      </c>
      <c r="N159" s="2">
        <v>0.28000000000000003</v>
      </c>
      <c r="O159" s="2">
        <v>0.54</v>
      </c>
      <c r="P159" s="2">
        <f>(O159/E159)*60</f>
        <v>0.12513678789829419</v>
      </c>
      <c r="Q159" s="2">
        <v>0</v>
      </c>
      <c r="R159" s="2">
        <v>0</v>
      </c>
      <c r="S159" s="2">
        <v>0</v>
      </c>
      <c r="T159" s="2">
        <v>0</v>
      </c>
      <c r="U159" s="2">
        <v>2</v>
      </c>
      <c r="V159" s="12">
        <v>5</v>
      </c>
      <c r="W159" s="2">
        <v>7</v>
      </c>
      <c r="X159" s="2">
        <v>3</v>
      </c>
      <c r="Y159" s="2">
        <v>0</v>
      </c>
      <c r="Z159" s="2">
        <f>Y159-X159</f>
        <v>-3</v>
      </c>
      <c r="AA159" s="2">
        <f>(Z159/E159)*60</f>
        <v>-0.69520437721274542</v>
      </c>
      <c r="AB159" s="2">
        <v>66</v>
      </c>
      <c r="AC159" s="2">
        <f>(AB159/E159)*60</f>
        <v>15.294496298680397</v>
      </c>
      <c r="AD159" s="2">
        <v>49</v>
      </c>
      <c r="AE159" s="2">
        <f>(AD159/E159)*60</f>
        <v>11.355004827808175</v>
      </c>
      <c r="AF159" s="2">
        <v>9.6999999999999993</v>
      </c>
      <c r="AG159" s="2">
        <v>14.5</v>
      </c>
      <c r="AH159" s="2">
        <f>AF159-AG159</f>
        <v>-4.8000000000000007</v>
      </c>
      <c r="AI159" s="2">
        <v>0</v>
      </c>
      <c r="AJ159" s="2">
        <f>(AI159/E159)*60</f>
        <v>0</v>
      </c>
      <c r="AK159" s="2">
        <v>1</v>
      </c>
      <c r="AL159" s="2">
        <v>0</v>
      </c>
      <c r="AM159" s="2">
        <f>(AL159/E159)*60</f>
        <v>0</v>
      </c>
      <c r="AN159" s="2" t="s">
        <v>338</v>
      </c>
      <c r="AO159" s="2">
        <v>122</v>
      </c>
      <c r="AP159" s="2">
        <v>61</v>
      </c>
      <c r="AQ159" s="14">
        <f>(AP159/E159)*60</f>
        <v>14.135822336659157</v>
      </c>
    </row>
    <row r="160" spans="1:43" x14ac:dyDescent="0.35">
      <c r="A160" s="5" t="s">
        <v>423</v>
      </c>
      <c r="B160" s="5" t="s">
        <v>122</v>
      </c>
      <c r="C160" s="2" t="s">
        <v>31</v>
      </c>
      <c r="D160" s="2">
        <v>24</v>
      </c>
      <c r="E160" s="3">
        <v>298.23333333333335</v>
      </c>
      <c r="F160" s="2">
        <v>0</v>
      </c>
      <c r="G160" s="14">
        <f>(F160/E160)*60</f>
        <v>0</v>
      </c>
      <c r="H160" s="2">
        <v>2</v>
      </c>
      <c r="I160" s="14">
        <f>(H160/E160)*60</f>
        <v>0.40236950933273719</v>
      </c>
      <c r="J160" s="2">
        <v>2</v>
      </c>
      <c r="K160" s="2">
        <v>8</v>
      </c>
      <c r="L160" s="2">
        <v>27</v>
      </c>
      <c r="M160" s="2">
        <v>17</v>
      </c>
      <c r="N160" s="2">
        <v>1.36</v>
      </c>
      <c r="O160" s="2">
        <v>3.05</v>
      </c>
      <c r="P160" s="2">
        <f>(O160/E160)*60</f>
        <v>0.61361350173242424</v>
      </c>
      <c r="Q160" s="2">
        <v>232</v>
      </c>
      <c r="R160" s="2">
        <v>98</v>
      </c>
      <c r="S160" s="2">
        <v>134</v>
      </c>
      <c r="T160" s="7">
        <v>0.42199999999999999</v>
      </c>
      <c r="U160" s="2">
        <v>15</v>
      </c>
      <c r="V160" s="12">
        <v>1</v>
      </c>
      <c r="W160" s="2">
        <v>16</v>
      </c>
      <c r="X160" s="2">
        <v>4</v>
      </c>
      <c r="Y160" s="2">
        <v>1</v>
      </c>
      <c r="Z160" s="2">
        <f>Y160-X160</f>
        <v>-3</v>
      </c>
      <c r="AA160" s="2">
        <f>(Z160/E160)*60</f>
        <v>-0.60355426399910583</v>
      </c>
      <c r="AB160" s="2">
        <v>49</v>
      </c>
      <c r="AC160" s="2">
        <f>(AB160/E160)*60</f>
        <v>9.8580529786520614</v>
      </c>
      <c r="AD160" s="2">
        <v>56</v>
      </c>
      <c r="AE160" s="2">
        <f>(AD160/E160)*60</f>
        <v>11.266346261316643</v>
      </c>
      <c r="AF160" s="2">
        <v>9.1999999999999993</v>
      </c>
      <c r="AG160" s="2">
        <v>17.8</v>
      </c>
      <c r="AH160" s="2">
        <f>AF160-AG160</f>
        <v>-8.6000000000000014</v>
      </c>
      <c r="AI160" s="2">
        <v>8</v>
      </c>
      <c r="AJ160" s="2">
        <f>(AI160/E160)*60</f>
        <v>1.6094780373309487</v>
      </c>
      <c r="AK160" s="2">
        <v>3</v>
      </c>
      <c r="AL160" s="2">
        <v>0</v>
      </c>
      <c r="AM160" s="2">
        <f>(AL160/E160)*60</f>
        <v>0</v>
      </c>
      <c r="AN160" s="2" t="s">
        <v>424</v>
      </c>
      <c r="AO160" s="2">
        <v>161</v>
      </c>
      <c r="AP160" s="2">
        <v>69</v>
      </c>
      <c r="AQ160" s="14">
        <f>(AP160/E160)*60</f>
        <v>13.881748071979434</v>
      </c>
    </row>
    <row r="161" spans="1:43" x14ac:dyDescent="0.35">
      <c r="A161" s="5" t="s">
        <v>258</v>
      </c>
      <c r="B161" s="5" t="s">
        <v>30</v>
      </c>
      <c r="C161" s="2" t="s">
        <v>39</v>
      </c>
      <c r="D161" s="2">
        <v>24</v>
      </c>
      <c r="E161" s="3">
        <v>307.5</v>
      </c>
      <c r="F161" s="2">
        <v>0</v>
      </c>
      <c r="G161" s="14">
        <f>(F161/E161)*60</f>
        <v>0</v>
      </c>
      <c r="H161" s="2">
        <v>2</v>
      </c>
      <c r="I161" s="14">
        <f>(H161/E161)*60</f>
        <v>0.3902439024390244</v>
      </c>
      <c r="J161" s="2">
        <v>2</v>
      </c>
      <c r="K161" s="2">
        <v>2</v>
      </c>
      <c r="L161" s="2">
        <v>39</v>
      </c>
      <c r="M161" s="2">
        <v>13</v>
      </c>
      <c r="N161" s="2">
        <v>0.71</v>
      </c>
      <c r="O161" s="2">
        <v>1.26</v>
      </c>
      <c r="P161" s="2">
        <f>(O161/E161)*60</f>
        <v>0.24585365853658536</v>
      </c>
      <c r="Q161" s="2">
        <v>0</v>
      </c>
      <c r="R161" s="2">
        <v>0</v>
      </c>
      <c r="S161" s="2">
        <v>0</v>
      </c>
      <c r="T161" s="2">
        <v>0</v>
      </c>
      <c r="U161" s="2">
        <v>1</v>
      </c>
      <c r="V161" s="12">
        <v>13</v>
      </c>
      <c r="W161" s="2">
        <v>14</v>
      </c>
      <c r="X161" s="2">
        <v>8</v>
      </c>
      <c r="Y161" s="2">
        <v>2</v>
      </c>
      <c r="Z161" s="2">
        <f>Y161-X161</f>
        <v>-6</v>
      </c>
      <c r="AA161" s="2">
        <f>(Z161/E161)*60</f>
        <v>-1.1707317073170731</v>
      </c>
      <c r="AB161" s="2">
        <v>82</v>
      </c>
      <c r="AC161" s="2">
        <f>(AB161/E161)*60</f>
        <v>16</v>
      </c>
      <c r="AD161" s="2">
        <v>37</v>
      </c>
      <c r="AE161" s="2">
        <f>(AD161/E161)*60</f>
        <v>7.2195121951219514</v>
      </c>
      <c r="AF161" s="2">
        <v>16.600000000000001</v>
      </c>
      <c r="AG161" s="2">
        <v>15.9</v>
      </c>
      <c r="AH161" s="2">
        <f>AF161-AG161</f>
        <v>0.70000000000000107</v>
      </c>
      <c r="AI161" s="2">
        <v>2</v>
      </c>
      <c r="AJ161" s="2">
        <f>(AI161/E161)*60</f>
        <v>0.3902439024390244</v>
      </c>
      <c r="AK161" s="2">
        <v>2</v>
      </c>
      <c r="AL161" s="2">
        <v>1</v>
      </c>
      <c r="AM161" s="2">
        <f>(AL161/E161)*60</f>
        <v>0.1951219512195122</v>
      </c>
      <c r="AN161" s="2" t="s">
        <v>256</v>
      </c>
      <c r="AO161" s="2">
        <v>134</v>
      </c>
      <c r="AP161" s="2">
        <v>62</v>
      </c>
      <c r="AQ161" s="14">
        <f>(AP161/E161)*60</f>
        <v>12.097560975609756</v>
      </c>
    </row>
    <row r="162" spans="1:43" x14ac:dyDescent="0.35">
      <c r="A162" s="5" t="s">
        <v>295</v>
      </c>
      <c r="B162" s="5" t="s">
        <v>53</v>
      </c>
      <c r="C162" s="2" t="s">
        <v>39</v>
      </c>
      <c r="D162" s="2">
        <v>24</v>
      </c>
      <c r="E162" s="3">
        <v>277.78333333333336</v>
      </c>
      <c r="F162" s="2">
        <v>0</v>
      </c>
      <c r="G162" s="14">
        <f>(F162/E162)*60</f>
        <v>0</v>
      </c>
      <c r="H162" s="2">
        <v>1</v>
      </c>
      <c r="I162" s="14">
        <f>(H162/E162)*60</f>
        <v>0.21599568008639827</v>
      </c>
      <c r="J162" s="2">
        <v>1</v>
      </c>
      <c r="K162" s="2">
        <v>0</v>
      </c>
      <c r="L162" s="2">
        <v>42</v>
      </c>
      <c r="M162" s="2">
        <v>20</v>
      </c>
      <c r="N162" s="2">
        <v>0.26</v>
      </c>
      <c r="O162" s="2">
        <v>0.74</v>
      </c>
      <c r="P162" s="2">
        <f>(O162/E162)*60</f>
        <v>0.15983680326393471</v>
      </c>
      <c r="Q162" s="2">
        <v>0</v>
      </c>
      <c r="R162" s="2">
        <v>0</v>
      </c>
      <c r="S162" s="2">
        <v>0</v>
      </c>
      <c r="T162" s="2">
        <v>0</v>
      </c>
      <c r="U162" s="2">
        <v>2</v>
      </c>
      <c r="V162" s="12">
        <v>10</v>
      </c>
      <c r="W162" s="2">
        <v>8</v>
      </c>
      <c r="X162" s="2">
        <v>1</v>
      </c>
      <c r="Y162" s="2">
        <v>1</v>
      </c>
      <c r="Z162" s="2">
        <f>Y162-X162</f>
        <v>0</v>
      </c>
      <c r="AA162" s="2">
        <f>(Z162/E162)*60</f>
        <v>0</v>
      </c>
      <c r="AB162" s="2">
        <v>60</v>
      </c>
      <c r="AC162" s="2">
        <f>(AB162/E162)*60</f>
        <v>12.959740805183895</v>
      </c>
      <c r="AD162" s="2">
        <v>34</v>
      </c>
      <c r="AE162" s="2">
        <f>(AD162/E162)*60</f>
        <v>7.3438531229375403</v>
      </c>
      <c r="AF162" s="2">
        <v>20.2</v>
      </c>
      <c r="AG162" s="2">
        <v>12.4</v>
      </c>
      <c r="AH162" s="2">
        <f>AF162-AG162</f>
        <v>7.7999999999999989</v>
      </c>
      <c r="AI162" s="2">
        <v>0</v>
      </c>
      <c r="AJ162" s="2">
        <f>(AI162/E162)*60</f>
        <v>0</v>
      </c>
      <c r="AK162" s="2">
        <v>0</v>
      </c>
      <c r="AL162" s="2">
        <v>7</v>
      </c>
      <c r="AM162" s="2">
        <f>(AL162/E162)*60</f>
        <v>1.5119697606047877</v>
      </c>
      <c r="AN162" s="2" t="s">
        <v>296</v>
      </c>
      <c r="AO162" s="2">
        <v>78</v>
      </c>
      <c r="AP162" s="2">
        <v>46</v>
      </c>
      <c r="AQ162" s="14">
        <f>(AP162/E162)*60</f>
        <v>9.9358012839743211</v>
      </c>
    </row>
    <row r="163" spans="1:43" x14ac:dyDescent="0.35">
      <c r="A163" s="5" t="s">
        <v>248</v>
      </c>
      <c r="B163" s="5" t="s">
        <v>53</v>
      </c>
      <c r="C163" s="2" t="s">
        <v>39</v>
      </c>
      <c r="D163" s="2">
        <v>23</v>
      </c>
      <c r="E163" s="3">
        <v>318.31666666666666</v>
      </c>
      <c r="F163" s="2">
        <v>1</v>
      </c>
      <c r="G163" s="14">
        <f>(F163/E163)*60</f>
        <v>0.1884915440598984</v>
      </c>
      <c r="H163" s="2">
        <v>6</v>
      </c>
      <c r="I163" s="14">
        <f>(H163/E163)*60</f>
        <v>1.1309492643593906</v>
      </c>
      <c r="J163" s="2">
        <v>7</v>
      </c>
      <c r="K163" s="2">
        <v>3</v>
      </c>
      <c r="L163" s="2">
        <v>104</v>
      </c>
      <c r="M163" s="2">
        <v>51</v>
      </c>
      <c r="N163" s="2">
        <v>0.68</v>
      </c>
      <c r="O163" s="2">
        <v>2.89</v>
      </c>
      <c r="P163" s="2">
        <f>(O163/E163)*60</f>
        <v>0.54474056233310642</v>
      </c>
      <c r="Q163" s="2">
        <v>0</v>
      </c>
      <c r="R163" s="2">
        <v>0</v>
      </c>
      <c r="S163" s="2">
        <v>0</v>
      </c>
      <c r="T163" s="2">
        <v>0</v>
      </c>
      <c r="U163" s="2">
        <v>9</v>
      </c>
      <c r="V163" s="12">
        <v>14</v>
      </c>
      <c r="W163" s="2">
        <v>5</v>
      </c>
      <c r="X163" s="2">
        <v>4</v>
      </c>
      <c r="Y163" s="2">
        <v>2</v>
      </c>
      <c r="Z163" s="2">
        <f>Y163-X163</f>
        <v>-2</v>
      </c>
      <c r="AA163" s="2">
        <f>(Z163/E163)*60</f>
        <v>-0.37698308811979681</v>
      </c>
      <c r="AB163" s="2">
        <v>117</v>
      </c>
      <c r="AC163" s="2">
        <f>(AB163/E163)*60</f>
        <v>22.053510655008115</v>
      </c>
      <c r="AD163" s="2">
        <v>78</v>
      </c>
      <c r="AE163" s="2">
        <f>(AD163/E163)*60</f>
        <v>14.702340436672078</v>
      </c>
      <c r="AF163" s="2">
        <v>24.3</v>
      </c>
      <c r="AG163" s="2">
        <v>9.6999999999999993</v>
      </c>
      <c r="AH163" s="2">
        <f>AF163-AG163</f>
        <v>14.600000000000001</v>
      </c>
      <c r="AI163" s="2">
        <v>3</v>
      </c>
      <c r="AJ163" s="2">
        <f>(AI163/E163)*60</f>
        <v>0.56547463217969529</v>
      </c>
      <c r="AK163" s="2">
        <v>5</v>
      </c>
      <c r="AL163" s="2">
        <v>8</v>
      </c>
      <c r="AM163" s="2">
        <f>(AL163/E163)*60</f>
        <v>1.5079323524791872</v>
      </c>
      <c r="AN163" s="2" t="s">
        <v>249</v>
      </c>
      <c r="AO163" s="2">
        <v>153</v>
      </c>
      <c r="AP163" s="2">
        <v>102</v>
      </c>
      <c r="AQ163" s="14">
        <f>(AP163/E163)*60</f>
        <v>19.22613749410964</v>
      </c>
    </row>
    <row r="164" spans="1:43" x14ac:dyDescent="0.35">
      <c r="A164" s="5" t="s">
        <v>365</v>
      </c>
      <c r="B164" s="5" t="s">
        <v>108</v>
      </c>
      <c r="C164" s="2" t="s">
        <v>39</v>
      </c>
      <c r="D164" s="2">
        <v>23</v>
      </c>
      <c r="E164" s="3">
        <v>262.13333333333333</v>
      </c>
      <c r="F164" s="2">
        <v>0</v>
      </c>
      <c r="G164" s="14">
        <f>(F164/E164)*60</f>
        <v>0</v>
      </c>
      <c r="H164" s="2">
        <v>0</v>
      </c>
      <c r="I164" s="14">
        <f>(H164/E164)*60</f>
        <v>0</v>
      </c>
      <c r="J164" s="2">
        <v>0</v>
      </c>
      <c r="K164" s="2">
        <v>1</v>
      </c>
      <c r="L164" s="2">
        <v>25</v>
      </c>
      <c r="M164" s="2">
        <v>7</v>
      </c>
      <c r="N164" s="2">
        <v>0.34</v>
      </c>
      <c r="O164" s="2">
        <v>0.6</v>
      </c>
      <c r="P164" s="2">
        <f>(O164/E164)*60</f>
        <v>0.13733468972533061</v>
      </c>
      <c r="Q164" s="2">
        <v>0</v>
      </c>
      <c r="R164" s="2">
        <v>0</v>
      </c>
      <c r="S164" s="2">
        <v>0</v>
      </c>
      <c r="T164" s="2">
        <v>0</v>
      </c>
      <c r="U164" s="2">
        <v>16</v>
      </c>
      <c r="V164" s="12">
        <v>5</v>
      </c>
      <c r="W164" s="2">
        <v>21</v>
      </c>
      <c r="X164" s="2">
        <v>3</v>
      </c>
      <c r="Y164" s="2">
        <v>3</v>
      </c>
      <c r="Z164" s="2">
        <f>Y164-X164</f>
        <v>0</v>
      </c>
      <c r="AA164" s="2">
        <f>(Z164/E164)*60</f>
        <v>0</v>
      </c>
      <c r="AB164" s="2">
        <v>78</v>
      </c>
      <c r="AC164" s="2">
        <f>(AB164/E164)*60</f>
        <v>17.853509664292982</v>
      </c>
      <c r="AD164" s="2">
        <v>39</v>
      </c>
      <c r="AE164" s="2">
        <f>(AD164/E164)*60</f>
        <v>8.9267548321464911</v>
      </c>
      <c r="AF164" s="2">
        <v>7.9</v>
      </c>
      <c r="AG164" s="2">
        <v>24.6</v>
      </c>
      <c r="AH164" s="2">
        <f>AF164-AG164</f>
        <v>-16.700000000000003</v>
      </c>
      <c r="AI164" s="2">
        <v>1</v>
      </c>
      <c r="AJ164" s="2">
        <f>(AI164/E164)*60</f>
        <v>0.2288911495422177</v>
      </c>
      <c r="AK164" s="2">
        <v>1</v>
      </c>
      <c r="AL164" s="2">
        <v>3</v>
      </c>
      <c r="AM164" s="2">
        <f>(AL164/E164)*60</f>
        <v>0.68667344862665314</v>
      </c>
      <c r="AN164" s="2" t="s">
        <v>366</v>
      </c>
      <c r="AO164" s="2">
        <v>123</v>
      </c>
      <c r="AP164" s="2">
        <v>59</v>
      </c>
      <c r="AQ164" s="14">
        <f>(AP164/E164)*60</f>
        <v>13.504577822990845</v>
      </c>
    </row>
    <row r="165" spans="1:43" x14ac:dyDescent="0.35">
      <c r="A165" s="5" t="s">
        <v>317</v>
      </c>
      <c r="B165" s="5" t="s">
        <v>71</v>
      </c>
      <c r="C165" s="2" t="s">
        <v>39</v>
      </c>
      <c r="D165" s="2">
        <v>23</v>
      </c>
      <c r="E165" s="3">
        <v>264.98333333333335</v>
      </c>
      <c r="F165" s="2">
        <v>0</v>
      </c>
      <c r="G165" s="14">
        <f>(F165/E165)*60</f>
        <v>0</v>
      </c>
      <c r="H165" s="2">
        <v>4</v>
      </c>
      <c r="I165" s="14">
        <f>(H165/E165)*60</f>
        <v>0.90571734071325238</v>
      </c>
      <c r="J165" s="2">
        <v>4</v>
      </c>
      <c r="K165" s="2">
        <v>0</v>
      </c>
      <c r="L165" s="2">
        <v>31</v>
      </c>
      <c r="M165" s="2">
        <v>10</v>
      </c>
      <c r="N165" s="2">
        <v>0.41</v>
      </c>
      <c r="O165" s="2">
        <v>0.67</v>
      </c>
      <c r="P165" s="2">
        <f>(O165/E165)*60</f>
        <v>0.15170765456946977</v>
      </c>
      <c r="Q165" s="2">
        <v>0</v>
      </c>
      <c r="R165" s="2">
        <v>0</v>
      </c>
      <c r="S165" s="2">
        <v>0</v>
      </c>
      <c r="T165" s="2">
        <v>0</v>
      </c>
      <c r="U165" s="2">
        <v>5</v>
      </c>
      <c r="V165" s="12">
        <v>8</v>
      </c>
      <c r="W165" s="2">
        <v>13</v>
      </c>
      <c r="X165" s="2">
        <v>1</v>
      </c>
      <c r="Y165" s="2">
        <v>1</v>
      </c>
      <c r="Z165" s="2">
        <f>Y165-X165</f>
        <v>0</v>
      </c>
      <c r="AA165" s="2">
        <f>(Z165/E165)*60</f>
        <v>0</v>
      </c>
      <c r="AB165" s="2">
        <v>109</v>
      </c>
      <c r="AC165" s="2">
        <f>(AB165/E165)*60</f>
        <v>24.680797534436124</v>
      </c>
      <c r="AD165" s="2">
        <v>57</v>
      </c>
      <c r="AE165" s="2">
        <f>(AD165/E165)*60</f>
        <v>12.906472105163846</v>
      </c>
      <c r="AF165" s="2">
        <v>16.2</v>
      </c>
      <c r="AG165" s="2">
        <v>16.399999999999999</v>
      </c>
      <c r="AH165" s="2">
        <f>AF165-AG165</f>
        <v>-0.19999999999999929</v>
      </c>
      <c r="AI165" s="2">
        <v>0</v>
      </c>
      <c r="AJ165" s="2">
        <f>(AI165/E165)*60</f>
        <v>0</v>
      </c>
      <c r="AK165" s="2">
        <v>2</v>
      </c>
      <c r="AL165" s="2">
        <v>7</v>
      </c>
      <c r="AM165" s="2">
        <f>(AL165/E165)*60</f>
        <v>1.5850053462481914</v>
      </c>
      <c r="AN165" s="2" t="s">
        <v>318</v>
      </c>
      <c r="AO165" s="2">
        <v>140</v>
      </c>
      <c r="AP165" s="2">
        <v>58</v>
      </c>
      <c r="AQ165" s="14">
        <f>(AP165/E165)*60</f>
        <v>13.13290144034216</v>
      </c>
    </row>
    <row r="166" spans="1:43" x14ac:dyDescent="0.35">
      <c r="A166" s="5" t="s">
        <v>378</v>
      </c>
      <c r="B166" s="5" t="s">
        <v>108</v>
      </c>
      <c r="C166" s="2" t="s">
        <v>31</v>
      </c>
      <c r="D166" s="2">
        <v>23</v>
      </c>
      <c r="E166" s="3">
        <v>248.05</v>
      </c>
      <c r="F166" s="2">
        <v>1</v>
      </c>
      <c r="G166" s="14">
        <f>(F166/E166)*60</f>
        <v>0.24188671638782505</v>
      </c>
      <c r="H166" s="2">
        <v>1</v>
      </c>
      <c r="I166" s="14">
        <f>(H166/E166)*60</f>
        <v>0.24188671638782505</v>
      </c>
      <c r="J166" s="2">
        <v>2</v>
      </c>
      <c r="K166" s="2">
        <v>1</v>
      </c>
      <c r="L166" s="2">
        <v>19</v>
      </c>
      <c r="M166" s="2">
        <v>11</v>
      </c>
      <c r="N166" s="2">
        <v>0.71</v>
      </c>
      <c r="O166" s="2">
        <v>1.17</v>
      </c>
      <c r="P166" s="2">
        <f>(O166/E166)*60</f>
        <v>0.28300745817375528</v>
      </c>
      <c r="Q166" s="2">
        <v>1</v>
      </c>
      <c r="R166" s="2">
        <v>0</v>
      </c>
      <c r="S166" s="2">
        <v>1</v>
      </c>
      <c r="T166" s="2">
        <v>0</v>
      </c>
      <c r="U166" s="2">
        <v>10</v>
      </c>
      <c r="V166" s="12">
        <v>4</v>
      </c>
      <c r="W166" s="2">
        <v>14</v>
      </c>
      <c r="X166" s="2">
        <v>1</v>
      </c>
      <c r="Y166" s="2">
        <v>3</v>
      </c>
      <c r="Z166" s="2">
        <f>Y166-X166</f>
        <v>2</v>
      </c>
      <c r="AA166" s="2">
        <f>(Z166/E166)*60</f>
        <v>0.4837734327756501</v>
      </c>
      <c r="AB166" s="2">
        <v>17</v>
      </c>
      <c r="AC166" s="2">
        <f>(AB166/E166)*60</f>
        <v>4.1120741785930255</v>
      </c>
      <c r="AD166" s="2">
        <v>35</v>
      </c>
      <c r="AE166" s="2">
        <f>(AD166/E166)*60</f>
        <v>8.4660350735738756</v>
      </c>
      <c r="AF166" s="2">
        <v>7</v>
      </c>
      <c r="AG166" s="2">
        <v>19.5</v>
      </c>
      <c r="AH166" s="2">
        <f>AF166-AG166</f>
        <v>-12.5</v>
      </c>
      <c r="AI166" s="2">
        <v>1</v>
      </c>
      <c r="AJ166" s="2">
        <f>(AI166/E166)*60</f>
        <v>0.24188671638782505</v>
      </c>
      <c r="AK166" s="2">
        <v>0</v>
      </c>
      <c r="AL166" s="2">
        <v>0</v>
      </c>
      <c r="AM166" s="2">
        <f>(AL166/E166)*60</f>
        <v>0</v>
      </c>
      <c r="AN166" s="2" t="s">
        <v>346</v>
      </c>
      <c r="AO166" s="2">
        <v>66</v>
      </c>
      <c r="AP166" s="2">
        <v>26</v>
      </c>
      <c r="AQ166" s="14">
        <f>(AP166/E166)*60</f>
        <v>6.289054626083451</v>
      </c>
    </row>
    <row r="167" spans="1:43" x14ac:dyDescent="0.35">
      <c r="A167" s="5" t="s">
        <v>280</v>
      </c>
      <c r="B167" s="5" t="s">
        <v>105</v>
      </c>
      <c r="C167" s="2" t="s">
        <v>39</v>
      </c>
      <c r="D167" s="2">
        <v>22</v>
      </c>
      <c r="E167" s="3">
        <v>393.5</v>
      </c>
      <c r="F167" s="2">
        <v>0</v>
      </c>
      <c r="G167" s="14">
        <f>(F167/E167)*60</f>
        <v>0</v>
      </c>
      <c r="H167" s="2">
        <v>3</v>
      </c>
      <c r="I167" s="14">
        <f>(H167/E167)*60</f>
        <v>0.45743329097839902</v>
      </c>
      <c r="J167" s="2">
        <v>3</v>
      </c>
      <c r="K167" s="2">
        <v>1</v>
      </c>
      <c r="L167" s="2">
        <v>40</v>
      </c>
      <c r="M167" s="2">
        <v>20</v>
      </c>
      <c r="N167" s="2">
        <v>0.56999999999999995</v>
      </c>
      <c r="O167" s="2">
        <v>1.3</v>
      </c>
      <c r="P167" s="2">
        <f>(O167/E167)*60</f>
        <v>0.19822109275730623</v>
      </c>
      <c r="Q167" s="2">
        <v>0</v>
      </c>
      <c r="R167" s="2">
        <v>0</v>
      </c>
      <c r="S167" s="2">
        <v>0</v>
      </c>
      <c r="T167" s="2">
        <v>0</v>
      </c>
      <c r="U167" s="2">
        <v>5</v>
      </c>
      <c r="V167" s="12">
        <v>11</v>
      </c>
      <c r="W167" s="2">
        <v>16</v>
      </c>
      <c r="X167" s="2">
        <v>6</v>
      </c>
      <c r="Y167" s="2">
        <v>1</v>
      </c>
      <c r="Z167" s="2">
        <f>Y167-X167</f>
        <v>-5</v>
      </c>
      <c r="AA167" s="2">
        <f>(Z167/E167)*60</f>
        <v>-0.76238881829733163</v>
      </c>
      <c r="AB167" s="2">
        <v>176</v>
      </c>
      <c r="AC167" s="2">
        <f>(AB167/E167)*60</f>
        <v>26.836086404066073</v>
      </c>
      <c r="AD167" s="2">
        <v>103</v>
      </c>
      <c r="AE167" s="2">
        <f>(AD167/E167)*60</f>
        <v>15.705209656925033</v>
      </c>
      <c r="AF167" s="2">
        <v>19.600000000000001</v>
      </c>
      <c r="AG167" s="2">
        <v>24.6</v>
      </c>
      <c r="AH167" s="2">
        <f>AF167-AG167</f>
        <v>-5</v>
      </c>
      <c r="AI167" s="2">
        <v>1</v>
      </c>
      <c r="AJ167" s="2">
        <f>(AI167/E167)*60</f>
        <v>0.15247776365946633</v>
      </c>
      <c r="AK167" s="2">
        <v>7</v>
      </c>
      <c r="AL167" s="2">
        <v>10</v>
      </c>
      <c r="AM167" s="2">
        <f>(AL167/E167)*60</f>
        <v>1.5247776365946633</v>
      </c>
      <c r="AN167" s="2" t="s">
        <v>281</v>
      </c>
      <c r="AO167" s="2">
        <v>268</v>
      </c>
      <c r="AP167" s="2">
        <v>125</v>
      </c>
      <c r="AQ167" s="14">
        <f>(AP167/E167)*60</f>
        <v>19.05972045743329</v>
      </c>
    </row>
    <row r="168" spans="1:43" x14ac:dyDescent="0.35">
      <c r="A168" s="5" t="s">
        <v>341</v>
      </c>
      <c r="B168" s="5" t="s">
        <v>108</v>
      </c>
      <c r="C168" s="2" t="s">
        <v>31</v>
      </c>
      <c r="D168" s="2">
        <v>22</v>
      </c>
      <c r="E168" s="3">
        <v>332.18333333333334</v>
      </c>
      <c r="F168" s="2">
        <v>2</v>
      </c>
      <c r="G168" s="14">
        <f>(F168/E168)*60</f>
        <v>0.36124629973408262</v>
      </c>
      <c r="H168" s="2">
        <v>2</v>
      </c>
      <c r="I168" s="14">
        <f>(H168/E168)*60</f>
        <v>0.36124629973408262</v>
      </c>
      <c r="J168" s="2">
        <v>4</v>
      </c>
      <c r="K168" s="2">
        <v>9</v>
      </c>
      <c r="L168" s="2">
        <v>39</v>
      </c>
      <c r="M168" s="2">
        <v>20</v>
      </c>
      <c r="N168" s="2">
        <v>1.34</v>
      </c>
      <c r="O168" s="2">
        <v>3.77</v>
      </c>
      <c r="P168" s="2">
        <f>(O168/E168)*60</f>
        <v>0.68094927499874569</v>
      </c>
      <c r="Q168" s="2">
        <v>30</v>
      </c>
      <c r="R168" s="2">
        <v>13</v>
      </c>
      <c r="S168" s="2">
        <v>17</v>
      </c>
      <c r="T168" s="7">
        <v>0.433</v>
      </c>
      <c r="U168" s="2">
        <v>8</v>
      </c>
      <c r="V168" s="12">
        <v>6</v>
      </c>
      <c r="W168" s="2">
        <v>14</v>
      </c>
      <c r="X168" s="2">
        <v>2</v>
      </c>
      <c r="Y168" s="2">
        <v>3</v>
      </c>
      <c r="Z168" s="2">
        <f>Y168-X168</f>
        <v>1</v>
      </c>
      <c r="AA168" s="2">
        <f>(Z168/E168)*60</f>
        <v>0.18062314986704131</v>
      </c>
      <c r="AB168" s="2">
        <v>54</v>
      </c>
      <c r="AC168" s="2">
        <f>(AB168/E168)*60</f>
        <v>9.7536500928202283</v>
      </c>
      <c r="AD168" s="2">
        <v>113</v>
      </c>
      <c r="AE168" s="2">
        <f>(AD168/E168)*60</f>
        <v>20.410415934975667</v>
      </c>
      <c r="AF168" s="2">
        <v>9.8000000000000007</v>
      </c>
      <c r="AG168" s="2">
        <v>25.2</v>
      </c>
      <c r="AH168" s="2">
        <f>AF168-AG168</f>
        <v>-15.399999999999999</v>
      </c>
      <c r="AI168" s="2">
        <v>9</v>
      </c>
      <c r="AJ168" s="2">
        <f>(AI168/E168)*60</f>
        <v>1.6256083488033717</v>
      </c>
      <c r="AK168" s="2">
        <v>4</v>
      </c>
      <c r="AL168" s="2">
        <v>10</v>
      </c>
      <c r="AM168" s="2">
        <f>(AL168/E168)*60</f>
        <v>1.8062314986704129</v>
      </c>
      <c r="AN168" s="2" t="s">
        <v>342</v>
      </c>
      <c r="AO168" s="2">
        <v>237</v>
      </c>
      <c r="AP168" s="2">
        <v>99</v>
      </c>
      <c r="AQ168" s="14">
        <f>(AP168/E168)*60</f>
        <v>17.881691836837089</v>
      </c>
    </row>
    <row r="169" spans="1:43" x14ac:dyDescent="0.35">
      <c r="A169" s="5" t="s">
        <v>90</v>
      </c>
      <c r="B169" s="5" t="s">
        <v>30</v>
      </c>
      <c r="C169" s="2" t="s">
        <v>39</v>
      </c>
      <c r="D169" s="2">
        <v>22</v>
      </c>
      <c r="E169" s="3">
        <v>412.73333333333335</v>
      </c>
      <c r="F169" s="2">
        <v>3</v>
      </c>
      <c r="G169" s="14">
        <f>(F169/E169)*60</f>
        <v>0.43611694395089645</v>
      </c>
      <c r="H169" s="2">
        <v>15</v>
      </c>
      <c r="I169" s="14">
        <f>(H169/E169)*60</f>
        <v>2.1805847197544823</v>
      </c>
      <c r="J169" s="2">
        <v>18</v>
      </c>
      <c r="K169" s="2">
        <v>11</v>
      </c>
      <c r="L169" s="2">
        <v>78</v>
      </c>
      <c r="M169" s="2">
        <v>47</v>
      </c>
      <c r="N169" s="2">
        <v>1.27</v>
      </c>
      <c r="O169" s="2">
        <v>4.47</v>
      </c>
      <c r="P169" s="2">
        <f>(O169/E169)*60</f>
        <v>0.64981424648683572</v>
      </c>
      <c r="Q169" s="2">
        <v>0</v>
      </c>
      <c r="R169" s="2">
        <v>0</v>
      </c>
      <c r="S169" s="2">
        <v>0</v>
      </c>
      <c r="T169" s="2">
        <v>0</v>
      </c>
      <c r="U169" s="2">
        <v>15</v>
      </c>
      <c r="V169" s="12">
        <v>28</v>
      </c>
      <c r="W169" s="2">
        <v>13</v>
      </c>
      <c r="X169" s="2">
        <v>8</v>
      </c>
      <c r="Y169" s="2">
        <v>3</v>
      </c>
      <c r="Z169" s="2">
        <f>Y169-X169</f>
        <v>-5</v>
      </c>
      <c r="AA169" s="2">
        <f>(Z169/E169)*60</f>
        <v>-0.72686157325149403</v>
      </c>
      <c r="AB169" s="2">
        <v>89</v>
      </c>
      <c r="AC169" s="2">
        <f>(AB169/E169)*60</f>
        <v>12.938136003876595</v>
      </c>
      <c r="AD169" s="2">
        <v>81</v>
      </c>
      <c r="AE169" s="2">
        <f>(AD169/E169)*60</f>
        <v>11.775157486674203</v>
      </c>
      <c r="AF169" s="2">
        <v>27.6</v>
      </c>
      <c r="AG169" s="2">
        <v>18.2</v>
      </c>
      <c r="AH169" s="2">
        <f>AF169-AG169</f>
        <v>9.4000000000000021</v>
      </c>
      <c r="AI169" s="2">
        <v>11</v>
      </c>
      <c r="AJ169" s="2">
        <f>(AI169/E169)*60</f>
        <v>1.599095461153287</v>
      </c>
      <c r="AK169" s="2">
        <v>8</v>
      </c>
      <c r="AL169" s="2">
        <v>15</v>
      </c>
      <c r="AM169" s="2">
        <f>(AL169/E169)*60</f>
        <v>2.1805847197544823</v>
      </c>
      <c r="AN169" s="2" t="s">
        <v>91</v>
      </c>
      <c r="AO169" s="2">
        <v>198</v>
      </c>
      <c r="AP169" s="2">
        <v>105</v>
      </c>
      <c r="AQ169" s="14">
        <f>(AP169/E169)*60</f>
        <v>15.264093038281377</v>
      </c>
    </row>
    <row r="170" spans="1:43" x14ac:dyDescent="0.35">
      <c r="A170" s="5" t="s">
        <v>379</v>
      </c>
      <c r="B170" s="5" t="s">
        <v>34</v>
      </c>
      <c r="C170" s="2" t="s">
        <v>39</v>
      </c>
      <c r="D170" s="2">
        <v>22</v>
      </c>
      <c r="E170" s="3">
        <v>164.53333333333333</v>
      </c>
      <c r="F170" s="2">
        <v>0</v>
      </c>
      <c r="G170" s="14">
        <f>(F170/E170)*60</f>
        <v>0</v>
      </c>
      <c r="H170" s="2">
        <v>0</v>
      </c>
      <c r="I170" s="14">
        <f>(H170/E170)*60</f>
        <v>0</v>
      </c>
      <c r="J170" s="2">
        <v>0</v>
      </c>
      <c r="K170" s="2">
        <v>0</v>
      </c>
      <c r="L170" s="2">
        <v>23</v>
      </c>
      <c r="M170" s="2">
        <v>9</v>
      </c>
      <c r="N170" s="2">
        <v>0.37</v>
      </c>
      <c r="O170" s="2">
        <v>0.48</v>
      </c>
      <c r="P170" s="2">
        <f>(O170/E170)*60</f>
        <v>0.17504051863857373</v>
      </c>
      <c r="Q170" s="2">
        <v>0</v>
      </c>
      <c r="R170" s="2">
        <v>0</v>
      </c>
      <c r="S170" s="2">
        <v>0</v>
      </c>
      <c r="T170" s="2">
        <v>0</v>
      </c>
      <c r="U170" s="2">
        <v>1</v>
      </c>
      <c r="V170" s="12">
        <v>4</v>
      </c>
      <c r="W170" s="2">
        <v>5</v>
      </c>
      <c r="X170" s="2">
        <v>3</v>
      </c>
      <c r="Y170" s="2">
        <v>0</v>
      </c>
      <c r="Z170" s="2">
        <f>Y170-X170</f>
        <v>-3</v>
      </c>
      <c r="AA170" s="2">
        <f>(Z170/E170)*60</f>
        <v>-1.0940032414910861</v>
      </c>
      <c r="AB170" s="2">
        <v>28</v>
      </c>
      <c r="AC170" s="2">
        <f>(AB170/E170)*60</f>
        <v>10.210696920583469</v>
      </c>
      <c r="AD170" s="2">
        <v>33</v>
      </c>
      <c r="AE170" s="2">
        <f>(AD170/E170)*60</f>
        <v>12.034035656401944</v>
      </c>
      <c r="AF170" s="2">
        <v>6.5</v>
      </c>
      <c r="AG170" s="2">
        <v>8</v>
      </c>
      <c r="AH170" s="2">
        <f>AF170-AG170</f>
        <v>-1.5</v>
      </c>
      <c r="AI170" s="2">
        <v>0</v>
      </c>
      <c r="AJ170" s="2">
        <f>(AI170/E170)*60</f>
        <v>0</v>
      </c>
      <c r="AK170" s="2">
        <v>1</v>
      </c>
      <c r="AL170" s="2">
        <v>1</v>
      </c>
      <c r="AM170" s="2">
        <f>(AL170/E170)*60</f>
        <v>0.36466774716369532</v>
      </c>
      <c r="AN170" s="2" t="s">
        <v>380</v>
      </c>
      <c r="AO170" s="2">
        <v>45</v>
      </c>
      <c r="AP170" s="2">
        <v>22</v>
      </c>
      <c r="AQ170" s="14">
        <f>(AP170/E170)*60</f>
        <v>8.0226904376012982</v>
      </c>
    </row>
    <row r="171" spans="1:43" x14ac:dyDescent="0.35">
      <c r="A171" s="5" t="s">
        <v>255</v>
      </c>
      <c r="B171" s="5" t="s">
        <v>46</v>
      </c>
      <c r="C171" s="2" t="s">
        <v>39</v>
      </c>
      <c r="D171" s="2">
        <v>22</v>
      </c>
      <c r="E171" s="3">
        <v>343.41666666666669</v>
      </c>
      <c r="F171" s="2">
        <v>2</v>
      </c>
      <c r="G171" s="14">
        <f>(F171/E171)*60</f>
        <v>0.34942975006066485</v>
      </c>
      <c r="H171" s="2">
        <v>3</v>
      </c>
      <c r="I171" s="14">
        <f>(H171/E171)*60</f>
        <v>0.52414462509099735</v>
      </c>
      <c r="J171" s="2">
        <v>5</v>
      </c>
      <c r="K171" s="2">
        <v>1</v>
      </c>
      <c r="L171" s="2">
        <v>65</v>
      </c>
      <c r="M171" s="2">
        <v>35</v>
      </c>
      <c r="N171" s="2">
        <v>0.48</v>
      </c>
      <c r="O171" s="2">
        <v>1.62</v>
      </c>
      <c r="P171" s="2">
        <f>(O171/E171)*60</f>
        <v>0.28303809754913856</v>
      </c>
      <c r="Q171" s="2">
        <v>0</v>
      </c>
      <c r="R171" s="2">
        <v>0</v>
      </c>
      <c r="S171" s="2">
        <v>0</v>
      </c>
      <c r="T171" s="2">
        <v>0</v>
      </c>
      <c r="U171" s="2">
        <v>4</v>
      </c>
      <c r="V171" s="12">
        <v>13</v>
      </c>
      <c r="W171" s="2">
        <v>9</v>
      </c>
      <c r="X171" s="2">
        <v>2</v>
      </c>
      <c r="Y171" s="2">
        <v>1</v>
      </c>
      <c r="Z171" s="2">
        <f>Y171-X171</f>
        <v>-1</v>
      </c>
      <c r="AA171" s="2">
        <f>(Z171/E171)*60</f>
        <v>-0.17471487503033242</v>
      </c>
      <c r="AB171" s="2">
        <v>62</v>
      </c>
      <c r="AC171" s="2">
        <f>(AB171/E171)*60</f>
        <v>10.832322251880612</v>
      </c>
      <c r="AD171" s="2">
        <v>44</v>
      </c>
      <c r="AE171" s="2">
        <f>(AD171/E171)*60</f>
        <v>7.6874545013346278</v>
      </c>
      <c r="AF171" s="2">
        <v>18.3</v>
      </c>
      <c r="AG171" s="2">
        <v>16.8</v>
      </c>
      <c r="AH171" s="2">
        <f>AF171-AG171</f>
        <v>1.5</v>
      </c>
      <c r="AI171" s="2">
        <v>1</v>
      </c>
      <c r="AJ171" s="2">
        <f>(AI171/E171)*60</f>
        <v>0.17471487503033242</v>
      </c>
      <c r="AK171" s="2">
        <v>1</v>
      </c>
      <c r="AL171" s="2">
        <v>5</v>
      </c>
      <c r="AM171" s="2">
        <f>(AL171/E171)*60</f>
        <v>0.87357437515166214</v>
      </c>
      <c r="AN171" s="2" t="s">
        <v>256</v>
      </c>
      <c r="AO171" s="2">
        <v>91</v>
      </c>
      <c r="AP171" s="2">
        <v>42</v>
      </c>
      <c r="AQ171" s="14">
        <f>(AP171/E171)*60</f>
        <v>7.338024751273962</v>
      </c>
    </row>
    <row r="172" spans="1:43" x14ac:dyDescent="0.35">
      <c r="A172" s="5" t="s">
        <v>388</v>
      </c>
      <c r="B172" s="5" t="s">
        <v>71</v>
      </c>
      <c r="C172" s="2" t="s">
        <v>31</v>
      </c>
      <c r="D172" s="2">
        <v>21</v>
      </c>
      <c r="E172" s="3">
        <v>145.19999999999999</v>
      </c>
      <c r="F172" s="2">
        <v>1</v>
      </c>
      <c r="G172" s="14">
        <f>(F172/E172)*60</f>
        <v>0.41322314049586778</v>
      </c>
      <c r="H172" s="2">
        <v>2</v>
      </c>
      <c r="I172" s="14">
        <f>(H172/E172)*60</f>
        <v>0.82644628099173556</v>
      </c>
      <c r="J172" s="2">
        <v>3</v>
      </c>
      <c r="K172" s="2">
        <v>6</v>
      </c>
      <c r="L172" s="2">
        <v>19</v>
      </c>
      <c r="M172" s="2">
        <v>16</v>
      </c>
      <c r="N172" s="2">
        <v>0.74</v>
      </c>
      <c r="O172" s="2">
        <v>1.25</v>
      </c>
      <c r="P172" s="2">
        <f>(O172/E172)*60</f>
        <v>0.51652892561983477</v>
      </c>
      <c r="Q172" s="2">
        <v>0</v>
      </c>
      <c r="R172" s="2">
        <v>0</v>
      </c>
      <c r="S172" s="2">
        <v>0</v>
      </c>
      <c r="T172" s="2">
        <v>0</v>
      </c>
      <c r="U172" s="2">
        <v>2</v>
      </c>
      <c r="V172" s="12">
        <v>3</v>
      </c>
      <c r="W172" s="2">
        <v>5</v>
      </c>
      <c r="X172" s="2">
        <v>1</v>
      </c>
      <c r="Y172" s="2">
        <v>0</v>
      </c>
      <c r="Z172" s="2">
        <f>Y172-X172</f>
        <v>-1</v>
      </c>
      <c r="AA172" s="2">
        <f>(Z172/E172)*60</f>
        <v>-0.41322314049586778</v>
      </c>
      <c r="AB172" s="2">
        <v>27</v>
      </c>
      <c r="AC172" s="2">
        <f>(AB172/E172)*60</f>
        <v>11.15702479338843</v>
      </c>
      <c r="AD172" s="2">
        <v>40</v>
      </c>
      <c r="AE172" s="2">
        <f>(AD172/E172)*60</f>
        <v>16.528925619834713</v>
      </c>
      <c r="AF172" s="2">
        <v>5.7</v>
      </c>
      <c r="AG172" s="2">
        <v>6.1</v>
      </c>
      <c r="AH172" s="2">
        <f>AF172-AG172</f>
        <v>-0.39999999999999947</v>
      </c>
      <c r="AI172" s="2">
        <v>6</v>
      </c>
      <c r="AJ172" s="2">
        <f>(AI172/E172)*60</f>
        <v>2.4793388429752068</v>
      </c>
      <c r="AK172" s="2">
        <v>3</v>
      </c>
      <c r="AL172" s="2">
        <v>2</v>
      </c>
      <c r="AM172" s="2">
        <f>(AL172/E172)*60</f>
        <v>0.82644628099173556</v>
      </c>
      <c r="AN172" s="2" t="s">
        <v>389</v>
      </c>
      <c r="AO172" s="2">
        <v>90</v>
      </c>
      <c r="AP172" s="2">
        <v>38</v>
      </c>
      <c r="AQ172" s="14">
        <f>(AP172/E172)*60</f>
        <v>15.702479338842977</v>
      </c>
    </row>
    <row r="173" spans="1:43" x14ac:dyDescent="0.35">
      <c r="A173" s="5" t="s">
        <v>421</v>
      </c>
      <c r="B173" s="5" t="s">
        <v>78</v>
      </c>
      <c r="C173" s="2" t="s">
        <v>39</v>
      </c>
      <c r="D173" s="2">
        <v>21</v>
      </c>
      <c r="E173" s="3">
        <v>90.233333333333334</v>
      </c>
      <c r="F173" s="2">
        <v>0</v>
      </c>
      <c r="G173" s="14">
        <f>(F173/E173)*60</f>
        <v>0</v>
      </c>
      <c r="H173" s="2">
        <v>1</v>
      </c>
      <c r="I173" s="14">
        <f>(H173/E173)*60</f>
        <v>0.66494274104174367</v>
      </c>
      <c r="J173" s="2">
        <v>1</v>
      </c>
      <c r="K173" s="2">
        <v>0</v>
      </c>
      <c r="L173" s="2">
        <v>5</v>
      </c>
      <c r="M173" s="2">
        <v>1</v>
      </c>
      <c r="N173" s="2">
        <v>0.04</v>
      </c>
      <c r="O173" s="2">
        <v>0.05</v>
      </c>
      <c r="P173" s="2">
        <f>(O173/E173)*60</f>
        <v>3.3247137052087185E-2</v>
      </c>
      <c r="Q173" s="2">
        <v>0</v>
      </c>
      <c r="R173" s="2">
        <v>0</v>
      </c>
      <c r="S173" s="2">
        <v>0</v>
      </c>
      <c r="T173" s="2">
        <v>0</v>
      </c>
      <c r="U173" s="2">
        <v>8</v>
      </c>
      <c r="V173" s="12">
        <v>1</v>
      </c>
      <c r="W173" s="2">
        <v>9</v>
      </c>
      <c r="X173" s="2">
        <v>0</v>
      </c>
      <c r="Y173" s="2">
        <v>0</v>
      </c>
      <c r="Z173" s="2">
        <f>Y173-X173</f>
        <v>0</v>
      </c>
      <c r="AA173" s="2">
        <f>(Z173/E173)*60</f>
        <v>0</v>
      </c>
      <c r="AB173" s="2">
        <v>15</v>
      </c>
      <c r="AC173" s="2">
        <f>(AB173/E173)*60</f>
        <v>9.9741411156261552</v>
      </c>
      <c r="AD173" s="2">
        <v>5</v>
      </c>
      <c r="AE173" s="2">
        <f>(AD173/E173)*60</f>
        <v>3.3247137052087181</v>
      </c>
      <c r="AF173" s="2">
        <v>2.63</v>
      </c>
      <c r="AG173" s="2">
        <v>6.2</v>
      </c>
      <c r="AH173" s="2">
        <f>AF173-AG173</f>
        <v>-3.5700000000000003</v>
      </c>
      <c r="AI173" s="2">
        <v>0</v>
      </c>
      <c r="AJ173" s="2">
        <f>(AI173/E173)*60</f>
        <v>0</v>
      </c>
      <c r="AK173" s="2">
        <v>1</v>
      </c>
      <c r="AL173" s="2">
        <v>0</v>
      </c>
      <c r="AM173" s="2">
        <f>(AL173/E173)*60</f>
        <v>0</v>
      </c>
      <c r="AN173" s="2" t="s">
        <v>422</v>
      </c>
      <c r="AO173" s="2">
        <v>31</v>
      </c>
      <c r="AP173" s="2">
        <v>18</v>
      </c>
      <c r="AQ173" s="14">
        <f>(AP173/E173)*60</f>
        <v>11.968969338751386</v>
      </c>
    </row>
    <row r="174" spans="1:43" x14ac:dyDescent="0.35">
      <c r="A174" s="5" t="s">
        <v>327</v>
      </c>
      <c r="B174" s="5" t="s">
        <v>34</v>
      </c>
      <c r="C174" s="2" t="s">
        <v>31</v>
      </c>
      <c r="D174" s="2">
        <v>21</v>
      </c>
      <c r="E174" s="3">
        <v>162.33333333333334</v>
      </c>
      <c r="F174" s="2">
        <v>1</v>
      </c>
      <c r="G174" s="14">
        <f>(F174/E174)*60</f>
        <v>0.36960985626283366</v>
      </c>
      <c r="H174" s="2">
        <v>2</v>
      </c>
      <c r="I174" s="14">
        <f>(H174/E174)*60</f>
        <v>0.73921971252566732</v>
      </c>
      <c r="J174" s="2">
        <v>3</v>
      </c>
      <c r="K174" s="2">
        <v>3</v>
      </c>
      <c r="L174" s="2">
        <v>11</v>
      </c>
      <c r="M174" s="2">
        <v>9</v>
      </c>
      <c r="N174" s="2">
        <v>0.79</v>
      </c>
      <c r="O174" s="2">
        <v>0.98</v>
      </c>
      <c r="P174" s="2">
        <f>(O174/E174)*60</f>
        <v>0.36221765913757697</v>
      </c>
      <c r="Q174" s="2">
        <v>0</v>
      </c>
      <c r="R174" s="2">
        <v>0</v>
      </c>
      <c r="S174" s="2">
        <v>0</v>
      </c>
      <c r="T174" s="2">
        <v>0</v>
      </c>
      <c r="U174" s="2">
        <v>3</v>
      </c>
      <c r="V174" s="12">
        <v>6</v>
      </c>
      <c r="W174" s="2">
        <v>3</v>
      </c>
      <c r="X174" s="2">
        <v>1</v>
      </c>
      <c r="Y174" s="2">
        <v>0</v>
      </c>
      <c r="Z174" s="2">
        <f>Y174-X174</f>
        <v>-1</v>
      </c>
      <c r="AA174" s="2">
        <f>(Z174/E174)*60</f>
        <v>-0.36960985626283366</v>
      </c>
      <c r="AB174" s="2">
        <v>18</v>
      </c>
      <c r="AC174" s="2">
        <f>(AB174/E174)*60</f>
        <v>6.6529774127310057</v>
      </c>
      <c r="AD174" s="2">
        <v>32</v>
      </c>
      <c r="AE174" s="2">
        <f>(AD174/E174)*60</f>
        <v>11.827515400410677</v>
      </c>
      <c r="AF174" s="2">
        <v>3.56</v>
      </c>
      <c r="AG174" s="2">
        <v>9.4</v>
      </c>
      <c r="AH174" s="2">
        <f>AF174-AG174</f>
        <v>-5.84</v>
      </c>
      <c r="AI174" s="2">
        <v>3</v>
      </c>
      <c r="AJ174" s="2">
        <f>(AI174/E174)*60</f>
        <v>1.108829568788501</v>
      </c>
      <c r="AK174" s="2">
        <v>0</v>
      </c>
      <c r="AL174" s="2">
        <v>3</v>
      </c>
      <c r="AM174" s="2">
        <f>(AL174/E174)*60</f>
        <v>1.108829568788501</v>
      </c>
      <c r="AN174" s="2" t="s">
        <v>328</v>
      </c>
      <c r="AO174" s="2">
        <v>81</v>
      </c>
      <c r="AP174" s="2">
        <v>31</v>
      </c>
      <c r="AQ174" s="14">
        <f>(AP174/E174)*60</f>
        <v>11.457905544147843</v>
      </c>
    </row>
    <row r="175" spans="1:43" x14ac:dyDescent="0.35">
      <c r="A175" s="5" t="s">
        <v>260</v>
      </c>
      <c r="B175" s="5" t="s">
        <v>46</v>
      </c>
      <c r="C175" s="2" t="s">
        <v>39</v>
      </c>
      <c r="D175" s="2">
        <v>20</v>
      </c>
      <c r="E175" s="3">
        <v>331.26666666666665</v>
      </c>
      <c r="F175" s="2">
        <v>1</v>
      </c>
      <c r="G175" s="14">
        <f>(F175/E175)*60</f>
        <v>0.18112296236667338</v>
      </c>
      <c r="H175" s="2">
        <v>5</v>
      </c>
      <c r="I175" s="14">
        <f>(H175/E175)*60</f>
        <v>0.9056148118333669</v>
      </c>
      <c r="J175" s="2">
        <v>6</v>
      </c>
      <c r="K175" s="2">
        <v>2</v>
      </c>
      <c r="L175" s="2">
        <v>66</v>
      </c>
      <c r="M175" s="2">
        <v>28</v>
      </c>
      <c r="N175" s="2">
        <v>0.65</v>
      </c>
      <c r="O175" s="2">
        <v>2.1</v>
      </c>
      <c r="P175" s="2">
        <f>(O175/E175)*60</f>
        <v>0.38035822097001409</v>
      </c>
      <c r="Q175" s="2">
        <v>0</v>
      </c>
      <c r="R175" s="2">
        <v>0</v>
      </c>
      <c r="S175" s="2">
        <v>0</v>
      </c>
      <c r="T175" s="2">
        <v>0</v>
      </c>
      <c r="U175" s="2">
        <v>1</v>
      </c>
      <c r="V175" s="12">
        <v>13</v>
      </c>
      <c r="W175" s="2">
        <v>14</v>
      </c>
      <c r="X175" s="2">
        <v>7</v>
      </c>
      <c r="Y175" s="2">
        <v>3</v>
      </c>
      <c r="Z175" s="2">
        <f>Y175-X175</f>
        <v>-4</v>
      </c>
      <c r="AA175" s="2">
        <f>(Z175/E175)*60</f>
        <v>-0.72449184946669354</v>
      </c>
      <c r="AB175" s="2">
        <v>168</v>
      </c>
      <c r="AC175" s="2">
        <f>(AB175/E175)*60</f>
        <v>30.428657677601127</v>
      </c>
      <c r="AD175" s="2">
        <v>82</v>
      </c>
      <c r="AE175" s="2">
        <f>(AD175/E175)*60</f>
        <v>14.852082914067216</v>
      </c>
      <c r="AF175" s="2">
        <v>17.5</v>
      </c>
      <c r="AG175" s="2">
        <v>16.899999999999999</v>
      </c>
      <c r="AH175" s="2">
        <f>AF175-AG175</f>
        <v>0.60000000000000142</v>
      </c>
      <c r="AI175" s="2">
        <v>2</v>
      </c>
      <c r="AJ175" s="2">
        <f>(AI175/E175)*60</f>
        <v>0.36224592473334677</v>
      </c>
      <c r="AK175" s="2">
        <v>3</v>
      </c>
      <c r="AL175" s="2">
        <v>12</v>
      </c>
      <c r="AM175" s="2">
        <f>(AL175/E175)*60</f>
        <v>2.1734755484000807</v>
      </c>
      <c r="AN175" s="2" t="s">
        <v>261</v>
      </c>
      <c r="AO175" s="2">
        <v>217</v>
      </c>
      <c r="AP175" s="2">
        <v>116</v>
      </c>
      <c r="AQ175" s="14">
        <f>(AP175/E175)*60</f>
        <v>21.010263634534112</v>
      </c>
    </row>
    <row r="176" spans="1:43" x14ac:dyDescent="0.35">
      <c r="A176" s="5" t="s">
        <v>286</v>
      </c>
      <c r="B176" s="5" t="s">
        <v>122</v>
      </c>
      <c r="C176" s="2" t="s">
        <v>31</v>
      </c>
      <c r="D176" s="2">
        <v>20</v>
      </c>
      <c r="E176" s="3">
        <v>264.39999999999998</v>
      </c>
      <c r="F176" s="2">
        <v>1</v>
      </c>
      <c r="G176" s="14">
        <f>(F176/E176)*60</f>
        <v>0.22692889561270804</v>
      </c>
      <c r="H176" s="2">
        <v>0</v>
      </c>
      <c r="I176" s="14">
        <f>(H176/E176)*60</f>
        <v>0</v>
      </c>
      <c r="J176" s="2">
        <v>1</v>
      </c>
      <c r="K176" s="2">
        <v>7</v>
      </c>
      <c r="L176" s="2">
        <v>26</v>
      </c>
      <c r="M176" s="2">
        <v>14</v>
      </c>
      <c r="N176" s="2">
        <v>1.22</v>
      </c>
      <c r="O176" s="2">
        <v>2.48</v>
      </c>
      <c r="P176" s="2">
        <f>(O176/E176)*60</f>
        <v>0.56278366111951594</v>
      </c>
      <c r="Q176" s="2">
        <v>1</v>
      </c>
      <c r="R176" s="2">
        <v>1</v>
      </c>
      <c r="S176" s="2">
        <v>0</v>
      </c>
      <c r="T176" s="8">
        <v>1</v>
      </c>
      <c r="U176" s="2">
        <v>3</v>
      </c>
      <c r="V176" s="12">
        <v>11</v>
      </c>
      <c r="W176" s="2">
        <v>14</v>
      </c>
      <c r="X176" s="2">
        <v>0</v>
      </c>
      <c r="Y176" s="2">
        <v>1</v>
      </c>
      <c r="Z176" s="2">
        <f>Y176-X176</f>
        <v>1</v>
      </c>
      <c r="AA176" s="2">
        <f>(Z176/E176)*60</f>
        <v>0.22692889561270804</v>
      </c>
      <c r="AB176" s="2">
        <v>46</v>
      </c>
      <c r="AC176" s="2">
        <f>(AB176/E176)*60</f>
        <v>10.43872919818457</v>
      </c>
      <c r="AD176" s="2">
        <v>81</v>
      </c>
      <c r="AE176" s="2">
        <f>(AD176/E176)*60</f>
        <v>18.381240544629353</v>
      </c>
      <c r="AF176" s="2">
        <v>12.3</v>
      </c>
      <c r="AG176" s="2">
        <v>18.899999999999999</v>
      </c>
      <c r="AH176" s="2">
        <f>AF176-AG176</f>
        <v>-6.5999999999999979</v>
      </c>
      <c r="AI176" s="2">
        <v>7</v>
      </c>
      <c r="AJ176" s="2">
        <f>(AI176/E176)*60</f>
        <v>1.5885022692889563</v>
      </c>
      <c r="AK176" s="2">
        <v>7</v>
      </c>
      <c r="AL176" s="2">
        <v>8</v>
      </c>
      <c r="AM176" s="2">
        <f>(AL176/E176)*60</f>
        <v>1.8154311649016643</v>
      </c>
      <c r="AN176" s="2" t="s">
        <v>287</v>
      </c>
      <c r="AO176" s="2">
        <v>162</v>
      </c>
      <c r="AP176" s="2">
        <v>71</v>
      </c>
      <c r="AQ176" s="14">
        <f>(AP176/E176)*60</f>
        <v>16.111951588502269</v>
      </c>
    </row>
    <row r="177" spans="1:43" x14ac:dyDescent="0.35">
      <c r="A177" s="5" t="s">
        <v>416</v>
      </c>
      <c r="B177" s="5" t="s">
        <v>105</v>
      </c>
      <c r="C177" s="2" t="s">
        <v>31</v>
      </c>
      <c r="D177" s="2">
        <v>20</v>
      </c>
      <c r="E177" s="3">
        <v>116.65</v>
      </c>
      <c r="F177" s="2">
        <v>0</v>
      </c>
      <c r="G177" s="14">
        <f>(F177/E177)*60</f>
        <v>0</v>
      </c>
      <c r="H177" s="2">
        <v>1</v>
      </c>
      <c r="I177" s="14">
        <f>(H177/E177)*60</f>
        <v>0.51435919417059583</v>
      </c>
      <c r="J177" s="2">
        <v>1</v>
      </c>
      <c r="K177" s="2">
        <v>2</v>
      </c>
      <c r="L177" s="2">
        <v>6</v>
      </c>
      <c r="M177" s="2">
        <v>4</v>
      </c>
      <c r="N177" s="2">
        <v>0.37</v>
      </c>
      <c r="O177" s="2">
        <v>0.48</v>
      </c>
      <c r="P177" s="2">
        <f>(O177/E177)*60</f>
        <v>0.24689241320188596</v>
      </c>
      <c r="Q177" s="2">
        <v>10</v>
      </c>
      <c r="R177" s="2">
        <v>3</v>
      </c>
      <c r="S177" s="2">
        <v>7</v>
      </c>
      <c r="T177" s="8">
        <v>0.3</v>
      </c>
      <c r="U177" s="2">
        <v>4</v>
      </c>
      <c r="V177" s="12">
        <v>1</v>
      </c>
      <c r="W177" s="2">
        <v>5</v>
      </c>
      <c r="X177" s="2">
        <v>2</v>
      </c>
      <c r="Y177" s="2">
        <v>2</v>
      </c>
      <c r="Z177" s="2">
        <f>Y177-X177</f>
        <v>0</v>
      </c>
      <c r="AA177" s="2">
        <f>(Z177/E177)*60</f>
        <v>0</v>
      </c>
      <c r="AB177" s="2">
        <v>17</v>
      </c>
      <c r="AC177" s="2">
        <f>(AB177/E177)*60</f>
        <v>8.7441063009001283</v>
      </c>
      <c r="AD177" s="2">
        <v>34</v>
      </c>
      <c r="AE177" s="2">
        <f>(AD177/E177)*60</f>
        <v>17.488212601800257</v>
      </c>
      <c r="AF177" s="2">
        <v>3.33</v>
      </c>
      <c r="AG177" s="2">
        <v>6.9</v>
      </c>
      <c r="AH177" s="2">
        <f>AF177-AG177</f>
        <v>-3.5700000000000003</v>
      </c>
      <c r="AI177" s="2">
        <v>2</v>
      </c>
      <c r="AJ177" s="2">
        <f>(AI177/E177)*60</f>
        <v>1.0287183883411917</v>
      </c>
      <c r="AK177" s="2">
        <v>0</v>
      </c>
      <c r="AL177" s="2">
        <v>0</v>
      </c>
      <c r="AM177" s="2">
        <f>(AL177/E177)*60</f>
        <v>0</v>
      </c>
      <c r="AN177" s="2" t="s">
        <v>417</v>
      </c>
      <c r="AO177" s="2">
        <v>91</v>
      </c>
      <c r="AP177" s="2">
        <v>30</v>
      </c>
      <c r="AQ177" s="14">
        <f>(AP177/E177)*60</f>
        <v>15.430775825117871</v>
      </c>
    </row>
    <row r="178" spans="1:43" x14ac:dyDescent="0.35">
      <c r="A178" s="5" t="s">
        <v>419</v>
      </c>
      <c r="B178" s="5" t="s">
        <v>53</v>
      </c>
      <c r="C178" s="2" t="s">
        <v>31</v>
      </c>
      <c r="D178" s="2">
        <v>20</v>
      </c>
      <c r="E178" s="3">
        <v>76.283333333333331</v>
      </c>
      <c r="F178" s="2">
        <v>0</v>
      </c>
      <c r="G178" s="14">
        <f>(F178/E178)*60</f>
        <v>0</v>
      </c>
      <c r="H178" s="2">
        <v>0</v>
      </c>
      <c r="I178" s="14">
        <f>(H178/E178)*60</f>
        <v>0</v>
      </c>
      <c r="J178" s="2">
        <v>0</v>
      </c>
      <c r="K178" s="2">
        <v>1</v>
      </c>
      <c r="L178" s="2">
        <v>4</v>
      </c>
      <c r="M178" s="2">
        <v>3</v>
      </c>
      <c r="N178" s="2">
        <v>0.27</v>
      </c>
      <c r="O178" s="2">
        <v>0.42</v>
      </c>
      <c r="P178" s="2">
        <f>(O178/E178)*60</f>
        <v>0.33034738911951056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12">
        <v>1</v>
      </c>
      <c r="W178" s="2">
        <v>1</v>
      </c>
      <c r="X178" s="2">
        <v>1</v>
      </c>
      <c r="Y178" s="2">
        <v>1</v>
      </c>
      <c r="Z178" s="2">
        <f>Y178-X178</f>
        <v>0</v>
      </c>
      <c r="AA178" s="2">
        <f>(Z178/E178)*60</f>
        <v>0</v>
      </c>
      <c r="AB178" s="2">
        <v>5</v>
      </c>
      <c r="AC178" s="2">
        <f>(AB178/E178)*60</f>
        <v>3.9327070133275073</v>
      </c>
      <c r="AD178" s="2">
        <v>17</v>
      </c>
      <c r="AE178" s="2">
        <f>(AD178/E178)*60</f>
        <v>13.371203845313525</v>
      </c>
      <c r="AF178" s="2">
        <v>1.53</v>
      </c>
      <c r="AG178" s="2">
        <v>4.09</v>
      </c>
      <c r="AH178" s="2">
        <f>AF178-AG178</f>
        <v>-2.5599999999999996</v>
      </c>
      <c r="AI178" s="2">
        <v>1</v>
      </c>
      <c r="AJ178" s="2">
        <f>(AI178/E178)*60</f>
        <v>0.78654140266550143</v>
      </c>
      <c r="AK178" s="2">
        <v>0</v>
      </c>
      <c r="AL178" s="2">
        <v>1</v>
      </c>
      <c r="AM178" s="2">
        <f>(AL178/E178)*60</f>
        <v>0.78654140266550143</v>
      </c>
      <c r="AN178" s="2" t="s">
        <v>420</v>
      </c>
      <c r="AO178" s="2">
        <v>40</v>
      </c>
      <c r="AP178" s="2">
        <v>14</v>
      </c>
      <c r="AQ178" s="14">
        <f>(AP178/E178)*60</f>
        <v>11.01157963731702</v>
      </c>
    </row>
    <row r="179" spans="1:43" x14ac:dyDescent="0.35">
      <c r="A179" s="5" t="s">
        <v>271</v>
      </c>
      <c r="B179" s="5" t="s">
        <v>71</v>
      </c>
      <c r="C179" s="2" t="s">
        <v>39</v>
      </c>
      <c r="D179" s="2">
        <v>19</v>
      </c>
      <c r="E179" s="3">
        <v>269.53333333333336</v>
      </c>
      <c r="F179" s="2">
        <v>0</v>
      </c>
      <c r="G179" s="14">
        <f>(F179/E179)*60</f>
        <v>0</v>
      </c>
      <c r="H179" s="2">
        <v>1</v>
      </c>
      <c r="I179" s="14">
        <f>(H179/E179)*60</f>
        <v>0.22260697501855056</v>
      </c>
      <c r="J179" s="2">
        <v>1</v>
      </c>
      <c r="K179" s="2">
        <v>2</v>
      </c>
      <c r="L179" s="2">
        <v>53</v>
      </c>
      <c r="M179" s="2">
        <v>25</v>
      </c>
      <c r="N179" s="2">
        <v>0.38</v>
      </c>
      <c r="O179" s="2">
        <v>1.26</v>
      </c>
      <c r="P179" s="2">
        <f>(O179/E179)*60</f>
        <v>0.28048478852337366</v>
      </c>
      <c r="Q179" s="2">
        <v>0</v>
      </c>
      <c r="R179" s="2">
        <v>0</v>
      </c>
      <c r="S179" s="2">
        <v>0</v>
      </c>
      <c r="T179" s="2">
        <v>0</v>
      </c>
      <c r="U179" s="2">
        <v>4</v>
      </c>
      <c r="V179" s="12">
        <v>12</v>
      </c>
      <c r="W179" s="2">
        <v>8</v>
      </c>
      <c r="X179" s="2">
        <v>8</v>
      </c>
      <c r="Y179" s="2">
        <v>2</v>
      </c>
      <c r="Z179" s="2">
        <f>Y179-X179</f>
        <v>-6</v>
      </c>
      <c r="AA179" s="2">
        <f>(Z179/E179)*60</f>
        <v>-1.3356418501113034</v>
      </c>
      <c r="AB179" s="2">
        <v>115</v>
      </c>
      <c r="AC179" s="2">
        <f>(AB179/E179)*60</f>
        <v>25.599802127133312</v>
      </c>
      <c r="AD179" s="2">
        <v>81</v>
      </c>
      <c r="AE179" s="2">
        <f>(AD179/E179)*60</f>
        <v>18.031164976502595</v>
      </c>
      <c r="AF179" s="2">
        <v>13.8</v>
      </c>
      <c r="AG179" s="2">
        <v>14.5</v>
      </c>
      <c r="AH179" s="2">
        <f>AF179-AG179</f>
        <v>-0.69999999999999929</v>
      </c>
      <c r="AI179" s="2">
        <v>2</v>
      </c>
      <c r="AJ179" s="2">
        <f>(AI179/E179)*60</f>
        <v>0.44521395003710112</v>
      </c>
      <c r="AK179" s="2">
        <v>3</v>
      </c>
      <c r="AL179" s="2">
        <v>2</v>
      </c>
      <c r="AM179" s="2">
        <f>(AL179/E179)*60</f>
        <v>0.44521395003710112</v>
      </c>
      <c r="AN179" s="2" t="s">
        <v>272</v>
      </c>
      <c r="AO179" s="2">
        <v>122</v>
      </c>
      <c r="AP179" s="2">
        <v>71</v>
      </c>
      <c r="AQ179" s="14">
        <f>(AP179/E179)*60</f>
        <v>15.805095226317089</v>
      </c>
    </row>
    <row r="180" spans="1:43" x14ac:dyDescent="0.35">
      <c r="A180" s="5" t="s">
        <v>399</v>
      </c>
      <c r="B180" s="5" t="s">
        <v>105</v>
      </c>
      <c r="C180" s="2" t="s">
        <v>39</v>
      </c>
      <c r="D180" s="2">
        <v>19</v>
      </c>
      <c r="E180" s="3">
        <v>165.7</v>
      </c>
      <c r="F180" s="2">
        <v>0</v>
      </c>
      <c r="G180" s="14">
        <f>(F180/E180)*60</f>
        <v>0</v>
      </c>
      <c r="H180" s="2">
        <v>1</v>
      </c>
      <c r="I180" s="14">
        <f>(H180/E180)*60</f>
        <v>0.36210018105009056</v>
      </c>
      <c r="J180" s="2">
        <v>1</v>
      </c>
      <c r="K180" s="2">
        <v>0</v>
      </c>
      <c r="L180" s="2">
        <v>21</v>
      </c>
      <c r="M180" s="2">
        <v>6</v>
      </c>
      <c r="N180" s="2">
        <v>0.14000000000000001</v>
      </c>
      <c r="O180" s="2">
        <v>0.3</v>
      </c>
      <c r="P180" s="2">
        <f>(O180/E180)*60</f>
        <v>0.10863005431502716</v>
      </c>
      <c r="Q180" s="2">
        <v>0</v>
      </c>
      <c r="R180" s="2">
        <v>0</v>
      </c>
      <c r="S180" s="2">
        <v>0</v>
      </c>
      <c r="T180" s="2">
        <v>0</v>
      </c>
      <c r="U180" s="2">
        <v>5</v>
      </c>
      <c r="V180" s="12">
        <v>2</v>
      </c>
      <c r="W180" s="2">
        <v>7</v>
      </c>
      <c r="X180" s="2">
        <v>4</v>
      </c>
      <c r="Y180" s="2">
        <v>0</v>
      </c>
      <c r="Z180" s="2">
        <f>Y180-X180</f>
        <v>-4</v>
      </c>
      <c r="AA180" s="2">
        <f>(Z180/E180)*60</f>
        <v>-1.4484007242003623</v>
      </c>
      <c r="AB180" s="2">
        <v>32</v>
      </c>
      <c r="AC180" s="2">
        <f>(AB180/E180)*60</f>
        <v>11.587205793602898</v>
      </c>
      <c r="AD180" s="2">
        <v>28</v>
      </c>
      <c r="AE180" s="2">
        <f>(AD180/E180)*60</f>
        <v>10.138805069402535</v>
      </c>
      <c r="AF180" s="2">
        <v>6.6</v>
      </c>
      <c r="AG180" s="2">
        <v>8.6</v>
      </c>
      <c r="AH180" s="2">
        <f>AF180-AG180</f>
        <v>-2</v>
      </c>
      <c r="AI180" s="2">
        <v>0</v>
      </c>
      <c r="AJ180" s="2">
        <f>(AI180/E180)*60</f>
        <v>0</v>
      </c>
      <c r="AK180" s="2">
        <v>0</v>
      </c>
      <c r="AL180" s="2">
        <v>0</v>
      </c>
      <c r="AM180" s="2">
        <f>(AL180/E180)*60</f>
        <v>0</v>
      </c>
      <c r="AN180" s="2" t="s">
        <v>400</v>
      </c>
      <c r="AO180" s="2">
        <v>70</v>
      </c>
      <c r="AP180" s="2">
        <v>35</v>
      </c>
      <c r="AQ180" s="14">
        <f>(AP180/E180)*60</f>
        <v>12.673506336753169</v>
      </c>
    </row>
    <row r="181" spans="1:43" x14ac:dyDescent="0.35">
      <c r="A181" s="5" t="s">
        <v>403</v>
      </c>
      <c r="B181" s="5" t="s">
        <v>46</v>
      </c>
      <c r="C181" s="2" t="s">
        <v>31</v>
      </c>
      <c r="D181" s="2">
        <v>18</v>
      </c>
      <c r="E181" s="3">
        <v>123.33333333333333</v>
      </c>
      <c r="F181" s="2">
        <v>0</v>
      </c>
      <c r="G181" s="14">
        <f>(F181/E181)*60</f>
        <v>0</v>
      </c>
      <c r="H181" s="2">
        <v>2</v>
      </c>
      <c r="I181" s="14">
        <f>(H181/E181)*60</f>
        <v>0.97297297297297303</v>
      </c>
      <c r="J181" s="2">
        <v>2</v>
      </c>
      <c r="K181" s="2">
        <v>1</v>
      </c>
      <c r="L181" s="2">
        <v>25</v>
      </c>
      <c r="M181" s="2">
        <v>18</v>
      </c>
      <c r="N181" s="2">
        <v>0.68</v>
      </c>
      <c r="O181" s="2">
        <v>1.47</v>
      </c>
      <c r="P181" s="2">
        <f>(O181/E181)*60</f>
        <v>0.71513513513513516</v>
      </c>
      <c r="Q181" s="2">
        <v>67</v>
      </c>
      <c r="R181" s="2">
        <v>28</v>
      </c>
      <c r="S181" s="2">
        <v>39</v>
      </c>
      <c r="T181" s="7">
        <v>0.41799999999999998</v>
      </c>
      <c r="U181" s="2">
        <v>1</v>
      </c>
      <c r="V181" s="12">
        <v>2</v>
      </c>
      <c r="W181" s="2">
        <v>3</v>
      </c>
      <c r="X181" s="2">
        <v>0</v>
      </c>
      <c r="Y181" s="2">
        <v>1</v>
      </c>
      <c r="Z181" s="2">
        <f>Y181-X181</f>
        <v>1</v>
      </c>
      <c r="AA181" s="2">
        <f>(Z181/E181)*60</f>
        <v>0.48648648648648651</v>
      </c>
      <c r="AB181" s="2">
        <v>17</v>
      </c>
      <c r="AC181" s="2">
        <f>(AB181/E181)*60</f>
        <v>8.2702702702702702</v>
      </c>
      <c r="AD181" s="2">
        <v>21</v>
      </c>
      <c r="AE181" s="2">
        <f>(AD181/E181)*60</f>
        <v>10.216216216216218</v>
      </c>
      <c r="AF181" s="2">
        <v>6.2</v>
      </c>
      <c r="AG181" s="2">
        <v>7</v>
      </c>
      <c r="AH181" s="2">
        <f>AF181-AG181</f>
        <v>-0.79999999999999982</v>
      </c>
      <c r="AI181" s="2">
        <v>1</v>
      </c>
      <c r="AJ181" s="2">
        <f>(AI181/E181)*60</f>
        <v>0.48648648648648651</v>
      </c>
      <c r="AK181" s="2">
        <v>4</v>
      </c>
      <c r="AL181" s="2">
        <v>1</v>
      </c>
      <c r="AM181" s="2">
        <f>(AL181/E181)*60</f>
        <v>0.48648648648648651</v>
      </c>
      <c r="AN181" s="2" t="s">
        <v>328</v>
      </c>
      <c r="AO181" s="2">
        <v>67</v>
      </c>
      <c r="AP181" s="2">
        <v>27</v>
      </c>
      <c r="AQ181" s="14">
        <f>(AP181/E181)*60</f>
        <v>13.135135135135135</v>
      </c>
    </row>
    <row r="182" spans="1:43" x14ac:dyDescent="0.35">
      <c r="A182" s="5" t="s">
        <v>309</v>
      </c>
      <c r="B182" s="5" t="s">
        <v>108</v>
      </c>
      <c r="C182" s="2" t="s">
        <v>31</v>
      </c>
      <c r="D182" s="2">
        <v>18</v>
      </c>
      <c r="E182" s="3">
        <v>306.63333333333333</v>
      </c>
      <c r="F182" s="2">
        <v>2</v>
      </c>
      <c r="G182" s="14">
        <f>(F182/E182)*60</f>
        <v>0.39134688553103603</v>
      </c>
      <c r="H182" s="2">
        <v>2</v>
      </c>
      <c r="I182" s="14">
        <f>(H182/E182)*60</f>
        <v>0.39134688553103603</v>
      </c>
      <c r="J182" s="2">
        <v>4</v>
      </c>
      <c r="K182" s="2">
        <v>7</v>
      </c>
      <c r="L182" s="2">
        <v>67</v>
      </c>
      <c r="M182" s="2">
        <v>38</v>
      </c>
      <c r="N182" s="2">
        <v>1.02</v>
      </c>
      <c r="O182" s="2">
        <v>4.4800000000000004</v>
      </c>
      <c r="P182" s="2">
        <f>(O182/E182)*60</f>
        <v>0.87661702358952076</v>
      </c>
      <c r="Q182" s="2">
        <v>150</v>
      </c>
      <c r="R182" s="2">
        <v>68</v>
      </c>
      <c r="S182" s="2">
        <v>82</v>
      </c>
      <c r="T182" s="7">
        <v>0.45300000000000001</v>
      </c>
      <c r="U182" s="2">
        <v>5</v>
      </c>
      <c r="V182" s="12">
        <v>8</v>
      </c>
      <c r="W182" s="2">
        <v>13</v>
      </c>
      <c r="X182" s="2">
        <v>5</v>
      </c>
      <c r="Y182" s="2">
        <v>6</v>
      </c>
      <c r="Z182" s="2">
        <f>Y182-X182</f>
        <v>1</v>
      </c>
      <c r="AA182" s="2">
        <f>(Z182/E182)*60</f>
        <v>0.19567344276551801</v>
      </c>
      <c r="AB182" s="2">
        <v>34</v>
      </c>
      <c r="AC182" s="2">
        <f>(AB182/E182)*60</f>
        <v>6.652897054027612</v>
      </c>
      <c r="AD182" s="2">
        <v>31</v>
      </c>
      <c r="AE182" s="2">
        <f>(AD182/E182)*60</f>
        <v>6.0658767257310577</v>
      </c>
      <c r="AF182" s="2">
        <v>10.9</v>
      </c>
      <c r="AG182" s="2">
        <v>22.3</v>
      </c>
      <c r="AH182" s="2">
        <f>AF182-AG182</f>
        <v>-11.4</v>
      </c>
      <c r="AI182" s="2">
        <v>7</v>
      </c>
      <c r="AJ182" s="2">
        <f>(AI182/E182)*60</f>
        <v>1.3697140993586259</v>
      </c>
      <c r="AK182" s="2">
        <v>1</v>
      </c>
      <c r="AL182" s="2">
        <v>7</v>
      </c>
      <c r="AM182" s="2">
        <f>(AL182/E182)*60</f>
        <v>1.3697140993586259</v>
      </c>
      <c r="AN182" s="2" t="s">
        <v>310</v>
      </c>
      <c r="AO182" s="2">
        <v>97</v>
      </c>
      <c r="AP182" s="2">
        <v>46</v>
      </c>
      <c r="AQ182" s="14">
        <f>(AP182/E182)*60</f>
        <v>9.0009783672138273</v>
      </c>
    </row>
    <row r="183" spans="1:43" x14ac:dyDescent="0.35">
      <c r="A183" s="5" t="s">
        <v>179</v>
      </c>
      <c r="B183" s="5" t="s">
        <v>78</v>
      </c>
      <c r="C183" s="2" t="s">
        <v>31</v>
      </c>
      <c r="D183" s="2">
        <v>17</v>
      </c>
      <c r="E183" s="3">
        <v>300.91666666666669</v>
      </c>
      <c r="F183" s="2">
        <v>6</v>
      </c>
      <c r="G183" s="14">
        <f>(F183/E183)*60</f>
        <v>1.1963445029077817</v>
      </c>
      <c r="H183" s="2">
        <v>7</v>
      </c>
      <c r="I183" s="14">
        <f>(H183/E183)*60</f>
        <v>1.3957352533924119</v>
      </c>
      <c r="J183" s="2">
        <v>13</v>
      </c>
      <c r="K183" s="2">
        <v>14</v>
      </c>
      <c r="L183" s="2">
        <v>83</v>
      </c>
      <c r="M183" s="2">
        <v>48</v>
      </c>
      <c r="N183" s="2">
        <v>1.59</v>
      </c>
      <c r="O183" s="2">
        <v>7.2</v>
      </c>
      <c r="P183" s="2">
        <f>(O183/E183)*60</f>
        <v>1.4356134034893382</v>
      </c>
      <c r="Q183" s="2">
        <v>96</v>
      </c>
      <c r="R183" s="2">
        <v>51</v>
      </c>
      <c r="S183" s="2">
        <v>45</v>
      </c>
      <c r="T183" s="7">
        <v>0.53100000000000003</v>
      </c>
      <c r="U183" s="2">
        <v>1</v>
      </c>
      <c r="V183" s="12">
        <v>19</v>
      </c>
      <c r="W183" s="2">
        <v>18</v>
      </c>
      <c r="X183" s="2">
        <v>0</v>
      </c>
      <c r="Y183" s="2">
        <v>2</v>
      </c>
      <c r="Z183" s="2">
        <f>Y183-X183</f>
        <v>2</v>
      </c>
      <c r="AA183" s="2">
        <f>(Z183/E183)*60</f>
        <v>0.39878150096926057</v>
      </c>
      <c r="AB183" s="2">
        <v>37</v>
      </c>
      <c r="AC183" s="2">
        <f>(AB183/E183)*60</f>
        <v>7.3774577679313209</v>
      </c>
      <c r="AD183" s="2">
        <v>65</v>
      </c>
      <c r="AE183" s="2">
        <f>(AD183/E183)*60</f>
        <v>12.960398781500968</v>
      </c>
      <c r="AF183" s="2">
        <v>18.600000000000001</v>
      </c>
      <c r="AG183" s="2">
        <v>16.2</v>
      </c>
      <c r="AH183" s="2">
        <f>AF183-AG183</f>
        <v>2.4000000000000021</v>
      </c>
      <c r="AI183" s="2">
        <v>14</v>
      </c>
      <c r="AJ183" s="2">
        <f>(AI183/E183)*60</f>
        <v>2.7914705067848238</v>
      </c>
      <c r="AK183" s="2">
        <v>13</v>
      </c>
      <c r="AL183" s="2">
        <v>17</v>
      </c>
      <c r="AM183" s="2">
        <f>(AL183/E183)*60</f>
        <v>3.3896427582387147</v>
      </c>
      <c r="AN183" s="2" t="s">
        <v>180</v>
      </c>
      <c r="AO183" s="2">
        <v>147</v>
      </c>
      <c r="AP183" s="2">
        <v>71</v>
      </c>
      <c r="AQ183" s="14">
        <f>(AP183/E183)*60</f>
        <v>14.15674328440875</v>
      </c>
    </row>
    <row r="184" spans="1:43" x14ac:dyDescent="0.35">
      <c r="A184" s="5" t="s">
        <v>393</v>
      </c>
      <c r="B184" s="5" t="s">
        <v>122</v>
      </c>
      <c r="C184" s="2" t="s">
        <v>31</v>
      </c>
      <c r="D184" s="2">
        <v>16</v>
      </c>
      <c r="E184" s="3">
        <v>80.833333333333329</v>
      </c>
      <c r="F184" s="2">
        <v>1</v>
      </c>
      <c r="G184" s="14">
        <f>(F184/E184)*60</f>
        <v>0.74226804123711343</v>
      </c>
      <c r="H184" s="2">
        <v>0</v>
      </c>
      <c r="I184" s="14">
        <f>(H184/E184)*60</f>
        <v>0</v>
      </c>
      <c r="J184" s="2">
        <v>1</v>
      </c>
      <c r="K184" s="2">
        <v>2</v>
      </c>
      <c r="L184" s="2">
        <v>3</v>
      </c>
      <c r="M184" s="2">
        <v>3</v>
      </c>
      <c r="N184" s="2">
        <v>0.37</v>
      </c>
      <c r="O184" s="2">
        <v>0.53</v>
      </c>
      <c r="P184" s="2">
        <f>(O184/E184)*60</f>
        <v>0.39340206185567012</v>
      </c>
      <c r="Q184" s="2">
        <v>6</v>
      </c>
      <c r="R184" s="2">
        <v>4</v>
      </c>
      <c r="S184" s="2">
        <v>2</v>
      </c>
      <c r="T184" s="7">
        <v>0.66700000000000004</v>
      </c>
      <c r="U184" s="2">
        <v>1</v>
      </c>
      <c r="V184" s="12">
        <v>2</v>
      </c>
      <c r="W184" s="2">
        <v>3</v>
      </c>
      <c r="X184" s="2">
        <v>0</v>
      </c>
      <c r="Y184" s="2">
        <v>0</v>
      </c>
      <c r="Z184" s="2">
        <f>Y184-X184</f>
        <v>0</v>
      </c>
      <c r="AA184" s="2">
        <f>(Z184/E184)*60</f>
        <v>0</v>
      </c>
      <c r="AB184" s="2">
        <v>11</v>
      </c>
      <c r="AC184" s="2">
        <f>(AB184/E184)*60</f>
        <v>8.1649484536082486</v>
      </c>
      <c r="AD184" s="2">
        <v>23</v>
      </c>
      <c r="AE184" s="2">
        <f>(AD184/E184)*60</f>
        <v>17.072164948453612</v>
      </c>
      <c r="AF184" s="2">
        <v>1.6</v>
      </c>
      <c r="AG184" s="2">
        <v>5.2</v>
      </c>
      <c r="AH184" s="2">
        <f>AF184-AG184</f>
        <v>-3.6</v>
      </c>
      <c r="AI184" s="2">
        <v>2</v>
      </c>
      <c r="AJ184" s="2">
        <f>(AI184/E184)*60</f>
        <v>1.4845360824742269</v>
      </c>
      <c r="AK184" s="2">
        <v>0</v>
      </c>
      <c r="AL184" s="2">
        <v>0</v>
      </c>
      <c r="AM184" s="2">
        <f>(AL184/E184)*60</f>
        <v>0</v>
      </c>
      <c r="AN184" s="2" t="s">
        <v>394</v>
      </c>
      <c r="AO184" s="2">
        <v>61</v>
      </c>
      <c r="AP184" s="2">
        <v>26</v>
      </c>
      <c r="AQ184" s="14">
        <f>(AP184/E184)*60</f>
        <v>19.298969072164951</v>
      </c>
    </row>
    <row r="185" spans="1:43" x14ac:dyDescent="0.35">
      <c r="A185" s="5" t="s">
        <v>284</v>
      </c>
      <c r="B185" s="5" t="s">
        <v>105</v>
      </c>
      <c r="C185" s="2" t="s">
        <v>31</v>
      </c>
      <c r="D185" s="2">
        <v>16</v>
      </c>
      <c r="E185" s="3">
        <v>286.89999999999998</v>
      </c>
      <c r="F185" s="2">
        <v>3</v>
      </c>
      <c r="G185" s="14">
        <f>(F185/E185)*60</f>
        <v>0.62739630533286872</v>
      </c>
      <c r="H185" s="2">
        <v>6</v>
      </c>
      <c r="I185" s="14">
        <f>(H185/E185)*60</f>
        <v>1.2547926106657374</v>
      </c>
      <c r="J185" s="2">
        <v>9</v>
      </c>
      <c r="K185" s="2">
        <v>14</v>
      </c>
      <c r="L185" s="2">
        <v>70</v>
      </c>
      <c r="M185" s="2">
        <v>39</v>
      </c>
      <c r="N185" s="2">
        <v>1.1299999999999999</v>
      </c>
      <c r="O185" s="2">
        <v>5.6</v>
      </c>
      <c r="P185" s="2">
        <f>(O185/E185)*60</f>
        <v>1.1711397699546882</v>
      </c>
      <c r="Q185" s="2">
        <v>254</v>
      </c>
      <c r="R185" s="2">
        <v>141</v>
      </c>
      <c r="S185" s="2">
        <v>113</v>
      </c>
      <c r="T185" s="7">
        <v>0.55500000000000005</v>
      </c>
      <c r="U185" s="2">
        <v>2</v>
      </c>
      <c r="V185" s="12">
        <v>11</v>
      </c>
      <c r="W185" s="2">
        <v>9</v>
      </c>
      <c r="X185" s="2">
        <v>7</v>
      </c>
      <c r="Y185" s="2">
        <v>2</v>
      </c>
      <c r="Z185" s="2">
        <f>Y185-X185</f>
        <v>-5</v>
      </c>
      <c r="AA185" s="2">
        <f>(Z185/E185)*60</f>
        <v>-1.0456605088881143</v>
      </c>
      <c r="AB185" s="2">
        <v>51</v>
      </c>
      <c r="AC185" s="2">
        <f>(AB185/E185)*60</f>
        <v>10.665737190658767</v>
      </c>
      <c r="AD185" s="2">
        <v>51</v>
      </c>
      <c r="AE185" s="2">
        <f>(AD185/E185)*60</f>
        <v>10.665737190658767</v>
      </c>
      <c r="AF185" s="2">
        <v>14.6</v>
      </c>
      <c r="AG185" s="2">
        <v>14.1</v>
      </c>
      <c r="AH185" s="2">
        <f>AF185-AG185</f>
        <v>0.5</v>
      </c>
      <c r="AI185" s="2">
        <v>14</v>
      </c>
      <c r="AJ185" s="2">
        <f>(AI185/E185)*60</f>
        <v>2.9278494248867206</v>
      </c>
      <c r="AK185" s="2">
        <v>6</v>
      </c>
      <c r="AL185" s="2">
        <v>6</v>
      </c>
      <c r="AM185" s="2">
        <f>(AL185/E185)*60</f>
        <v>1.2547926106657374</v>
      </c>
      <c r="AN185" s="2" t="s">
        <v>285</v>
      </c>
      <c r="AO185" s="2">
        <v>159</v>
      </c>
      <c r="AP185" s="2">
        <v>77</v>
      </c>
      <c r="AQ185" s="14">
        <f>(AP185/E185)*60</f>
        <v>16.103171836876964</v>
      </c>
    </row>
    <row r="186" spans="1:43" x14ac:dyDescent="0.35">
      <c r="A186" s="5" t="s">
        <v>407</v>
      </c>
      <c r="B186" s="5" t="s">
        <v>78</v>
      </c>
      <c r="C186" s="2" t="s">
        <v>39</v>
      </c>
      <c r="D186" s="2">
        <v>15</v>
      </c>
      <c r="E186" s="3">
        <v>215.58333333333334</v>
      </c>
      <c r="F186" s="2">
        <v>0</v>
      </c>
      <c r="G186" s="14">
        <f>(F186/E186)*60</f>
        <v>0</v>
      </c>
      <c r="H186" s="2">
        <v>0</v>
      </c>
      <c r="I186" s="14">
        <f>(H186/E186)*60</f>
        <v>0</v>
      </c>
      <c r="J186" s="2">
        <v>0</v>
      </c>
      <c r="K186" s="2">
        <v>2</v>
      </c>
      <c r="L186" s="2">
        <v>16</v>
      </c>
      <c r="M186" s="2">
        <v>7</v>
      </c>
      <c r="N186" s="2">
        <v>0.3</v>
      </c>
      <c r="O186" s="2">
        <v>0.65</v>
      </c>
      <c r="P186" s="2">
        <f>(O186/E186)*60</f>
        <v>0.18090452261306533</v>
      </c>
      <c r="Q186" s="2">
        <v>0</v>
      </c>
      <c r="R186" s="2">
        <v>0</v>
      </c>
      <c r="S186" s="2">
        <v>0</v>
      </c>
      <c r="T186" s="2">
        <v>0</v>
      </c>
      <c r="U186" s="2">
        <v>10</v>
      </c>
      <c r="V186" s="12">
        <v>2</v>
      </c>
      <c r="W186" s="2">
        <v>12</v>
      </c>
      <c r="X186" s="2">
        <v>4</v>
      </c>
      <c r="Y186" s="2">
        <v>1</v>
      </c>
      <c r="Z186" s="2">
        <f>Y186-X186</f>
        <v>-3</v>
      </c>
      <c r="AA186" s="2">
        <f>(Z186/E186)*60</f>
        <v>-0.83494395052184001</v>
      </c>
      <c r="AB186" s="2">
        <v>41</v>
      </c>
      <c r="AC186" s="2">
        <f>(AB186/E186)*60</f>
        <v>11.410900657131812</v>
      </c>
      <c r="AD186" s="2">
        <v>31</v>
      </c>
      <c r="AE186" s="2">
        <f>(AD186/E186)*60</f>
        <v>8.6277541553923456</v>
      </c>
      <c r="AF186" s="2">
        <v>7.5</v>
      </c>
      <c r="AG186" s="2">
        <v>12.5</v>
      </c>
      <c r="AH186" s="2">
        <f>AF186-AG186</f>
        <v>-5</v>
      </c>
      <c r="AI186" s="2">
        <v>2</v>
      </c>
      <c r="AJ186" s="2">
        <f>(AI186/E186)*60</f>
        <v>0.55662930034789326</v>
      </c>
      <c r="AK186" s="2">
        <v>0</v>
      </c>
      <c r="AL186" s="2">
        <v>6</v>
      </c>
      <c r="AM186" s="2">
        <f>(AL186/E186)*60</f>
        <v>1.66988790104368</v>
      </c>
      <c r="AN186" s="2" t="s">
        <v>408</v>
      </c>
      <c r="AO186" s="2">
        <v>76</v>
      </c>
      <c r="AP186" s="2">
        <v>47</v>
      </c>
      <c r="AQ186" s="14">
        <f>(AP186/E186)*60</f>
        <v>13.080788558175492</v>
      </c>
    </row>
    <row r="187" spans="1:43" x14ac:dyDescent="0.35">
      <c r="A187" s="5" t="s">
        <v>358</v>
      </c>
      <c r="B187" s="5" t="s">
        <v>108</v>
      </c>
      <c r="C187" s="2" t="s">
        <v>39</v>
      </c>
      <c r="D187" s="2">
        <v>15</v>
      </c>
      <c r="E187" s="3">
        <v>190.63333333333333</v>
      </c>
      <c r="F187" s="2">
        <v>0</v>
      </c>
      <c r="G187" s="14">
        <f>(F187/E187)*60</f>
        <v>0</v>
      </c>
      <c r="H187" s="2">
        <v>3</v>
      </c>
      <c r="I187" s="14">
        <f>(H187/E187)*60</f>
        <v>0.94422101766043021</v>
      </c>
      <c r="J187" s="2">
        <v>3</v>
      </c>
      <c r="K187" s="2">
        <v>0</v>
      </c>
      <c r="L187" s="2">
        <v>26</v>
      </c>
      <c r="M187" s="2">
        <v>6</v>
      </c>
      <c r="N187" s="2">
        <v>0.25</v>
      </c>
      <c r="O187" s="2">
        <v>0.55000000000000004</v>
      </c>
      <c r="P187" s="2">
        <f>(O187/E187)*60</f>
        <v>0.17310718657107887</v>
      </c>
      <c r="Q187" s="2">
        <v>0</v>
      </c>
      <c r="R187" s="2">
        <v>0</v>
      </c>
      <c r="S187" s="2">
        <v>0</v>
      </c>
      <c r="T187" s="2">
        <v>0</v>
      </c>
      <c r="U187" s="2">
        <v>2</v>
      </c>
      <c r="V187" s="12">
        <v>5</v>
      </c>
      <c r="W187" s="2">
        <v>7</v>
      </c>
      <c r="X187" s="2">
        <v>4</v>
      </c>
      <c r="Y187" s="2">
        <v>1</v>
      </c>
      <c r="Z187" s="2">
        <f>Y187-X187</f>
        <v>-3</v>
      </c>
      <c r="AA187" s="2">
        <f>(Z187/E187)*60</f>
        <v>-0.94422101766043021</v>
      </c>
      <c r="AB187" s="2">
        <v>39</v>
      </c>
      <c r="AC187" s="2">
        <f>(AB187/E187)*60</f>
        <v>12.274873229585593</v>
      </c>
      <c r="AD187" s="2">
        <v>25</v>
      </c>
      <c r="AE187" s="2">
        <f>(AD187/E187)*60</f>
        <v>7.8685084805035856</v>
      </c>
      <c r="AF187" s="2">
        <v>8.8000000000000007</v>
      </c>
      <c r="AG187" s="2">
        <v>10.6</v>
      </c>
      <c r="AH187" s="2">
        <f>AF187-AG187</f>
        <v>-1.7999999999999989</v>
      </c>
      <c r="AI187" s="2">
        <v>0</v>
      </c>
      <c r="AJ187" s="2">
        <f>(AI187/E187)*60</f>
        <v>0</v>
      </c>
      <c r="AK187" s="2">
        <v>3</v>
      </c>
      <c r="AL187" s="2">
        <v>8</v>
      </c>
      <c r="AM187" s="2">
        <f>(AL187/E187)*60</f>
        <v>2.5179227137611471</v>
      </c>
      <c r="AN187" s="2" t="s">
        <v>359</v>
      </c>
      <c r="AO187" s="2">
        <v>63</v>
      </c>
      <c r="AP187" s="2">
        <v>29</v>
      </c>
      <c r="AQ187" s="14">
        <f>(AP187/E187)*60</f>
        <v>9.1274698373841581</v>
      </c>
    </row>
    <row r="188" spans="1:43" x14ac:dyDescent="0.35">
      <c r="A188" s="5" t="s">
        <v>297</v>
      </c>
      <c r="B188" s="5" t="s">
        <v>71</v>
      </c>
      <c r="C188" s="2" t="s">
        <v>31</v>
      </c>
      <c r="D188" s="2">
        <v>15</v>
      </c>
      <c r="E188" s="3">
        <v>258.06666666666666</v>
      </c>
      <c r="F188" s="2">
        <v>3</v>
      </c>
      <c r="G188" s="14">
        <f>(F188/E188)*60</f>
        <v>0.69749418754843717</v>
      </c>
      <c r="H188" s="2">
        <v>5</v>
      </c>
      <c r="I188" s="14">
        <f>(H188/E188)*60</f>
        <v>1.1624903125807284</v>
      </c>
      <c r="J188" s="2">
        <v>8</v>
      </c>
      <c r="K188" s="2">
        <v>7</v>
      </c>
      <c r="L188" s="2">
        <v>49</v>
      </c>
      <c r="M188" s="2">
        <v>27</v>
      </c>
      <c r="N188" s="2">
        <v>1.01</v>
      </c>
      <c r="O188" s="2">
        <v>3.6</v>
      </c>
      <c r="P188" s="2">
        <f>(O188/E188)*60</f>
        <v>0.83699302505812456</v>
      </c>
      <c r="Q188" s="2">
        <v>0</v>
      </c>
      <c r="R188" s="2">
        <v>0</v>
      </c>
      <c r="S188" s="2">
        <v>0</v>
      </c>
      <c r="T188" s="2">
        <v>0</v>
      </c>
      <c r="U188" s="2">
        <v>1</v>
      </c>
      <c r="V188" s="12">
        <v>10</v>
      </c>
      <c r="W188" s="2">
        <v>9</v>
      </c>
      <c r="X188" s="2">
        <v>0</v>
      </c>
      <c r="Y188" s="2">
        <v>3</v>
      </c>
      <c r="Z188" s="2">
        <f>Y188-X188</f>
        <v>3</v>
      </c>
      <c r="AA188" s="2">
        <f>(Z188/E188)*60</f>
        <v>0.69749418754843717</v>
      </c>
      <c r="AB188" s="2">
        <v>30</v>
      </c>
      <c r="AC188" s="2">
        <f>(AB188/E188)*60</f>
        <v>6.9749418754843715</v>
      </c>
      <c r="AD188" s="2">
        <v>40</v>
      </c>
      <c r="AE188" s="2">
        <f>(AD188/E188)*60</f>
        <v>9.2999225006458275</v>
      </c>
      <c r="AF188" s="2">
        <v>13.3</v>
      </c>
      <c r="AG188" s="2">
        <v>11.4</v>
      </c>
      <c r="AH188" s="2">
        <f>AF188-AG188</f>
        <v>1.9000000000000004</v>
      </c>
      <c r="AI188" s="2">
        <v>7</v>
      </c>
      <c r="AJ188" s="2">
        <f>(AI188/E188)*60</f>
        <v>1.6274864376130198</v>
      </c>
      <c r="AK188" s="2">
        <v>5</v>
      </c>
      <c r="AL188" s="2">
        <v>7</v>
      </c>
      <c r="AM188" s="2">
        <f>(AL188/E188)*60</f>
        <v>1.6274864376130198</v>
      </c>
      <c r="AN188" s="2" t="s">
        <v>298</v>
      </c>
      <c r="AO188" s="2">
        <v>90</v>
      </c>
      <c r="AP188" s="2">
        <v>35</v>
      </c>
      <c r="AQ188" s="14">
        <f>(AP188/E188)*60</f>
        <v>8.1374321880650982</v>
      </c>
    </row>
    <row r="189" spans="1:43" x14ac:dyDescent="0.35">
      <c r="A189" s="5" t="s">
        <v>347</v>
      </c>
      <c r="B189" s="5" t="s">
        <v>78</v>
      </c>
      <c r="C189" s="2" t="s">
        <v>31</v>
      </c>
      <c r="D189" s="2">
        <v>14</v>
      </c>
      <c r="E189" s="3">
        <v>235.85</v>
      </c>
      <c r="F189" s="2">
        <v>1</v>
      </c>
      <c r="G189" s="14">
        <f>(F189/E189)*60</f>
        <v>0.25439898240407038</v>
      </c>
      <c r="H189" s="2">
        <v>2</v>
      </c>
      <c r="I189" s="14">
        <f>(H189/E189)*60</f>
        <v>0.50879796480814077</v>
      </c>
      <c r="J189" s="2">
        <v>3</v>
      </c>
      <c r="K189" s="2">
        <v>8</v>
      </c>
      <c r="L189" s="2">
        <v>42</v>
      </c>
      <c r="M189" s="2">
        <v>19</v>
      </c>
      <c r="N189" s="2">
        <v>1.1100000000000001</v>
      </c>
      <c r="O189" s="2">
        <v>3.48</v>
      </c>
      <c r="P189" s="2">
        <f>(O189/E189)*60</f>
        <v>0.88530845876616493</v>
      </c>
      <c r="Q189" s="2">
        <v>41</v>
      </c>
      <c r="R189" s="2">
        <v>17</v>
      </c>
      <c r="S189" s="2">
        <v>24</v>
      </c>
      <c r="T189" s="7">
        <v>0.41499999999999998</v>
      </c>
      <c r="U189" s="2">
        <v>4</v>
      </c>
      <c r="V189" s="12">
        <v>5</v>
      </c>
      <c r="W189" s="2">
        <v>9</v>
      </c>
      <c r="X189" s="2">
        <v>4</v>
      </c>
      <c r="Y189" s="2">
        <v>4</v>
      </c>
      <c r="Z189" s="2">
        <f>Y189-X189</f>
        <v>0</v>
      </c>
      <c r="AA189" s="2">
        <f>(Z189/E189)*60</f>
        <v>0</v>
      </c>
      <c r="AB189" s="2">
        <v>43</v>
      </c>
      <c r="AC189" s="2">
        <f>(AB189/E189)*60</f>
        <v>10.939156243375027</v>
      </c>
      <c r="AD189" s="2">
        <v>80</v>
      </c>
      <c r="AE189" s="2">
        <f>(AD189/E189)*60</f>
        <v>20.351918592325632</v>
      </c>
      <c r="AF189" s="2">
        <v>9.6</v>
      </c>
      <c r="AG189" s="2">
        <v>13</v>
      </c>
      <c r="AH189" s="2">
        <f>AF189-AG189</f>
        <v>-3.4000000000000004</v>
      </c>
      <c r="AI189" s="2">
        <v>8</v>
      </c>
      <c r="AJ189" s="2">
        <f>(AI189/E189)*60</f>
        <v>2.0351918592325631</v>
      </c>
      <c r="AK189" s="2">
        <v>4</v>
      </c>
      <c r="AL189" s="2">
        <v>6</v>
      </c>
      <c r="AM189" s="2">
        <f>(AL189/E189)*60</f>
        <v>1.5263938944244224</v>
      </c>
      <c r="AN189" s="2" t="s">
        <v>348</v>
      </c>
      <c r="AO189" s="2">
        <v>192</v>
      </c>
      <c r="AP189" s="2">
        <v>103</v>
      </c>
      <c r="AQ189" s="14">
        <f>(AP189/E189)*60</f>
        <v>26.203095187619247</v>
      </c>
    </row>
    <row r="190" spans="1:43" x14ac:dyDescent="0.35">
      <c r="A190" s="5" t="s">
        <v>262</v>
      </c>
      <c r="B190" s="5" t="s">
        <v>30</v>
      </c>
      <c r="C190" s="2" t="s">
        <v>39</v>
      </c>
      <c r="D190" s="2">
        <v>14</v>
      </c>
      <c r="E190" s="3">
        <v>266.26666666666665</v>
      </c>
      <c r="F190" s="2">
        <v>1</v>
      </c>
      <c r="G190" s="14">
        <f>(F190/E190)*60</f>
        <v>0.22533800701051576</v>
      </c>
      <c r="H190" s="2">
        <v>3</v>
      </c>
      <c r="I190" s="14">
        <f>(H190/E190)*60</f>
        <v>0.67601402103154729</v>
      </c>
      <c r="J190" s="2">
        <v>4</v>
      </c>
      <c r="K190" s="2">
        <v>3</v>
      </c>
      <c r="L190" s="2">
        <v>49</v>
      </c>
      <c r="M190" s="2">
        <v>27</v>
      </c>
      <c r="N190" s="2">
        <v>0.44</v>
      </c>
      <c r="O190" s="2">
        <v>1.91</v>
      </c>
      <c r="P190" s="2">
        <f>(O190/E190)*60</f>
        <v>0.43039559339008515</v>
      </c>
      <c r="Q190" s="2">
        <v>0</v>
      </c>
      <c r="R190" s="2">
        <v>0</v>
      </c>
      <c r="S190" s="2">
        <v>0</v>
      </c>
      <c r="T190" s="2">
        <v>0</v>
      </c>
      <c r="U190" s="2">
        <v>7</v>
      </c>
      <c r="V190" s="12">
        <v>13</v>
      </c>
      <c r="W190" s="2">
        <v>6</v>
      </c>
      <c r="X190" s="2">
        <v>0</v>
      </c>
      <c r="Y190" s="2">
        <v>4</v>
      </c>
      <c r="Z190" s="2">
        <f>Y190-X190</f>
        <v>4</v>
      </c>
      <c r="AA190" s="2">
        <f>(Z190/E190)*60</f>
        <v>0.90135202804206305</v>
      </c>
      <c r="AB190" s="2">
        <v>124</v>
      </c>
      <c r="AC190" s="2">
        <f>(AB190/E190)*60</f>
        <v>27.941912869303959</v>
      </c>
      <c r="AD190" s="2">
        <v>54</v>
      </c>
      <c r="AE190" s="2">
        <f>(AD190/E190)*60</f>
        <v>12.168252378567853</v>
      </c>
      <c r="AF190" s="2">
        <v>12.8</v>
      </c>
      <c r="AG190" s="2">
        <v>12.8</v>
      </c>
      <c r="AH190" s="2">
        <f>AF190-AG190</f>
        <v>0</v>
      </c>
      <c r="AI190" s="2">
        <v>3</v>
      </c>
      <c r="AJ190" s="2">
        <f>(AI190/E190)*60</f>
        <v>0.67601402103154729</v>
      </c>
      <c r="AK190" s="2">
        <v>3</v>
      </c>
      <c r="AL190" s="2">
        <v>3</v>
      </c>
      <c r="AM190" s="2">
        <f>(AL190/E190)*60</f>
        <v>0.67601402103154729</v>
      </c>
      <c r="AN190" s="2" t="s">
        <v>186</v>
      </c>
      <c r="AO190" s="2">
        <v>170</v>
      </c>
      <c r="AP190" s="2">
        <v>89</v>
      </c>
      <c r="AQ190" s="14">
        <f>(AP190/E190)*60</f>
        <v>20.055082623935906</v>
      </c>
    </row>
    <row r="191" spans="1:43" x14ac:dyDescent="0.35">
      <c r="A191" s="5" t="s">
        <v>276</v>
      </c>
      <c r="B191" s="5" t="s">
        <v>34</v>
      </c>
      <c r="C191" s="2" t="s">
        <v>39</v>
      </c>
      <c r="D191" s="2">
        <v>14</v>
      </c>
      <c r="E191" s="3">
        <v>240.01666666666668</v>
      </c>
      <c r="F191" s="2">
        <v>4</v>
      </c>
      <c r="G191" s="14">
        <f>(F191/E191)*60</f>
        <v>0.99993056037775152</v>
      </c>
      <c r="H191" s="2">
        <v>1</v>
      </c>
      <c r="I191" s="14">
        <f>(H191/E191)*60</f>
        <v>0.24998264009443788</v>
      </c>
      <c r="J191" s="2">
        <v>5</v>
      </c>
      <c r="K191" s="2">
        <v>4</v>
      </c>
      <c r="L191" s="2">
        <v>43</v>
      </c>
      <c r="M191" s="2">
        <v>24</v>
      </c>
      <c r="N191" s="2">
        <v>0.53</v>
      </c>
      <c r="O191" s="2">
        <v>1.87</v>
      </c>
      <c r="P191" s="2">
        <f>(O191/E191)*60</f>
        <v>0.46746753697659882</v>
      </c>
      <c r="Q191" s="2">
        <v>0</v>
      </c>
      <c r="R191" s="2">
        <v>0</v>
      </c>
      <c r="S191" s="2">
        <v>0</v>
      </c>
      <c r="T191" s="2">
        <v>0</v>
      </c>
      <c r="U191" s="2">
        <v>4</v>
      </c>
      <c r="V191" s="12">
        <v>11</v>
      </c>
      <c r="W191" s="2">
        <v>7</v>
      </c>
      <c r="X191" s="2">
        <v>3</v>
      </c>
      <c r="Y191" s="2">
        <v>1</v>
      </c>
      <c r="Z191" s="2">
        <f>Y191-X191</f>
        <v>-2</v>
      </c>
      <c r="AA191" s="2">
        <f>(Z191/E191)*60</f>
        <v>-0.49996528018887576</v>
      </c>
      <c r="AB191" s="2">
        <v>96</v>
      </c>
      <c r="AC191" s="2">
        <f>(AB191/E191)*60</f>
        <v>23.998333449066038</v>
      </c>
      <c r="AD191" s="2">
        <v>50</v>
      </c>
      <c r="AE191" s="2">
        <f>(AD191/E191)*60</f>
        <v>12.499132004721893</v>
      </c>
      <c r="AF191" s="2">
        <v>14.4</v>
      </c>
      <c r="AG191" s="2">
        <v>11.5</v>
      </c>
      <c r="AH191" s="2">
        <f>AF191-AG191</f>
        <v>2.9000000000000004</v>
      </c>
      <c r="AI191" s="2">
        <v>4</v>
      </c>
      <c r="AJ191" s="2">
        <f>(AI191/E191)*60</f>
        <v>0.99993056037775152</v>
      </c>
      <c r="AK191" s="2">
        <v>2</v>
      </c>
      <c r="AL191" s="2">
        <v>10</v>
      </c>
      <c r="AM191" s="2">
        <f>(AL191/E191)*60</f>
        <v>2.4998264009443787</v>
      </c>
      <c r="AN191" s="2" t="s">
        <v>277</v>
      </c>
      <c r="AO191" s="2">
        <v>136</v>
      </c>
      <c r="AP191" s="2">
        <v>65</v>
      </c>
      <c r="AQ191" s="14">
        <f>(AP191/E191)*60</f>
        <v>16.248871606138461</v>
      </c>
    </row>
    <row r="192" spans="1:43" x14ac:dyDescent="0.35">
      <c r="A192" s="5" t="s">
        <v>263</v>
      </c>
      <c r="B192" s="5" t="s">
        <v>30</v>
      </c>
      <c r="C192" s="2" t="s">
        <v>31</v>
      </c>
      <c r="D192" s="2">
        <v>14</v>
      </c>
      <c r="E192" s="3">
        <v>253.13333333333333</v>
      </c>
      <c r="F192" s="2">
        <v>2</v>
      </c>
      <c r="G192" s="14">
        <f>(F192/E192)*60</f>
        <v>0.47405846721095607</v>
      </c>
      <c r="H192" s="2">
        <v>6</v>
      </c>
      <c r="I192" s="14">
        <f>(H192/E192)*60</f>
        <v>1.422175401632868</v>
      </c>
      <c r="J192" s="2">
        <v>8</v>
      </c>
      <c r="K192" s="2">
        <v>10</v>
      </c>
      <c r="L192" s="2">
        <v>77</v>
      </c>
      <c r="M192" s="2">
        <v>40</v>
      </c>
      <c r="N192" s="2">
        <v>0.82</v>
      </c>
      <c r="O192" s="2">
        <v>4.96</v>
      </c>
      <c r="P192" s="2">
        <f>(O192/E192)*60</f>
        <v>1.1756649986831711</v>
      </c>
      <c r="Q192" s="2">
        <v>6</v>
      </c>
      <c r="R192" s="2">
        <v>3</v>
      </c>
      <c r="S192" s="2">
        <v>3</v>
      </c>
      <c r="T192" s="8">
        <v>0.5</v>
      </c>
      <c r="U192" s="2">
        <v>8</v>
      </c>
      <c r="V192" s="12">
        <v>13</v>
      </c>
      <c r="W192" s="2">
        <v>5</v>
      </c>
      <c r="X192" s="2">
        <v>2</v>
      </c>
      <c r="Y192" s="2">
        <v>1</v>
      </c>
      <c r="Z192" s="2">
        <f>Y192-X192</f>
        <v>-1</v>
      </c>
      <c r="AA192" s="2">
        <f>(Z192/E192)*60</f>
        <v>-0.23702923360547803</v>
      </c>
      <c r="AB192" s="2">
        <v>15</v>
      </c>
      <c r="AC192" s="2">
        <f>(AB192/E192)*60</f>
        <v>3.5554385040821703</v>
      </c>
      <c r="AD192" s="2">
        <v>23</v>
      </c>
      <c r="AE192" s="2">
        <f>(AD192/E192)*60</f>
        <v>5.4516723729259944</v>
      </c>
      <c r="AF192" s="2">
        <v>18.3</v>
      </c>
      <c r="AG192" s="2">
        <v>8.8000000000000007</v>
      </c>
      <c r="AH192" s="2">
        <f>AF192-AG192</f>
        <v>9.5</v>
      </c>
      <c r="AI192" s="2">
        <v>10</v>
      </c>
      <c r="AJ192" s="2">
        <f>(AI192/E192)*60</f>
        <v>2.3702923360547801</v>
      </c>
      <c r="AK192" s="2">
        <v>6</v>
      </c>
      <c r="AL192" s="2">
        <v>7</v>
      </c>
      <c r="AM192" s="2">
        <f>(AL192/E192)*60</f>
        <v>1.6592046352383463</v>
      </c>
      <c r="AN192" s="2" t="s">
        <v>264</v>
      </c>
      <c r="AO192" s="2">
        <v>76</v>
      </c>
      <c r="AP192" s="2">
        <v>33</v>
      </c>
      <c r="AQ192" s="14">
        <f>(AP192/E192)*60</f>
        <v>7.821964708980774</v>
      </c>
    </row>
    <row r="193" spans="1:43" x14ac:dyDescent="0.35">
      <c r="A193" s="5" t="s">
        <v>401</v>
      </c>
      <c r="B193" s="5" t="s">
        <v>60</v>
      </c>
      <c r="C193" s="2" t="s">
        <v>31</v>
      </c>
      <c r="D193" s="2">
        <v>14</v>
      </c>
      <c r="E193" s="3">
        <v>197</v>
      </c>
      <c r="F193" s="2">
        <v>0</v>
      </c>
      <c r="G193" s="14">
        <f>(F193/E193)*60</f>
        <v>0</v>
      </c>
      <c r="H193" s="2">
        <v>0</v>
      </c>
      <c r="I193" s="14">
        <f>(H193/E193)*60</f>
        <v>0</v>
      </c>
      <c r="J193" s="2">
        <v>0</v>
      </c>
      <c r="K193" s="2">
        <v>2</v>
      </c>
      <c r="L193" s="2">
        <v>18</v>
      </c>
      <c r="M193" s="2">
        <v>9</v>
      </c>
      <c r="N193" s="2">
        <v>0.55000000000000004</v>
      </c>
      <c r="O193" s="2">
        <v>1.3</v>
      </c>
      <c r="P193" s="2">
        <f>(O193/E193)*60</f>
        <v>0.39593908629441626</v>
      </c>
      <c r="Q193" s="2">
        <v>57</v>
      </c>
      <c r="R193" s="2">
        <v>17</v>
      </c>
      <c r="S193" s="2">
        <v>40</v>
      </c>
      <c r="T193" s="7">
        <v>0.29799999999999999</v>
      </c>
      <c r="U193" s="2">
        <v>9</v>
      </c>
      <c r="V193" s="12">
        <v>2</v>
      </c>
      <c r="W193" s="2">
        <v>11</v>
      </c>
      <c r="X193" s="2">
        <v>3</v>
      </c>
      <c r="Y193" s="2">
        <v>3</v>
      </c>
      <c r="Z193" s="2">
        <f>Y193-X193</f>
        <v>0</v>
      </c>
      <c r="AA193" s="2">
        <f>(Z193/E193)*60</f>
        <v>0</v>
      </c>
      <c r="AB193" s="2">
        <v>23</v>
      </c>
      <c r="AC193" s="2">
        <f>(AB193/E193)*60</f>
        <v>7.0050761421319798</v>
      </c>
      <c r="AD193" s="2">
        <v>16</v>
      </c>
      <c r="AE193" s="2">
        <f>(AD193/E193)*60</f>
        <v>4.8730964467005071</v>
      </c>
      <c r="AF193" s="2">
        <v>6.7</v>
      </c>
      <c r="AG193" s="2">
        <v>9.1999999999999993</v>
      </c>
      <c r="AH193" s="2">
        <f>AF193-AG193</f>
        <v>-2.4999999999999991</v>
      </c>
      <c r="AI193" s="2">
        <v>2</v>
      </c>
      <c r="AJ193" s="2">
        <f>(AI193/E193)*60</f>
        <v>0.60913705583756339</v>
      </c>
      <c r="AK193" s="2">
        <v>2</v>
      </c>
      <c r="AL193" s="2">
        <v>4</v>
      </c>
      <c r="AM193" s="2">
        <f>(AL193/E193)*60</f>
        <v>1.2182741116751268</v>
      </c>
      <c r="AN193" s="2" t="s">
        <v>402</v>
      </c>
      <c r="AO193" s="2">
        <v>53</v>
      </c>
      <c r="AP193" s="2">
        <v>24</v>
      </c>
      <c r="AQ193" s="14">
        <f>(AP193/E193)*60</f>
        <v>7.309644670050762</v>
      </c>
    </row>
    <row r="194" spans="1:43" x14ac:dyDescent="0.35">
      <c r="A194" s="5" t="s">
        <v>319</v>
      </c>
      <c r="B194" s="5" t="s">
        <v>71</v>
      </c>
      <c r="C194" s="2" t="s">
        <v>31</v>
      </c>
      <c r="D194" s="2">
        <v>12</v>
      </c>
      <c r="E194" s="3">
        <v>167.91666666666666</v>
      </c>
      <c r="F194" s="2">
        <v>3</v>
      </c>
      <c r="G194" s="14">
        <f>(F194/E194)*60</f>
        <v>1.0719602977667493</v>
      </c>
      <c r="H194" s="2">
        <v>2</v>
      </c>
      <c r="I194" s="14">
        <f>(H194/E194)*60</f>
        <v>0.71464019851116622</v>
      </c>
      <c r="J194" s="2">
        <v>5</v>
      </c>
      <c r="K194" s="2">
        <v>8</v>
      </c>
      <c r="L194" s="2">
        <v>32</v>
      </c>
      <c r="M194" s="2">
        <v>23</v>
      </c>
      <c r="N194" s="2">
        <v>0.93</v>
      </c>
      <c r="O194" s="2">
        <v>2.71</v>
      </c>
      <c r="P194" s="2">
        <f>(O194/E194)*60</f>
        <v>0.9683374689826304</v>
      </c>
      <c r="Q194" s="2">
        <v>1</v>
      </c>
      <c r="R194" s="2">
        <v>1</v>
      </c>
      <c r="S194" s="2">
        <v>0</v>
      </c>
      <c r="T194" s="8">
        <v>1</v>
      </c>
      <c r="U194" s="2">
        <v>2</v>
      </c>
      <c r="V194" s="12">
        <v>7</v>
      </c>
      <c r="W194" s="2">
        <v>5</v>
      </c>
      <c r="X194" s="2">
        <v>2</v>
      </c>
      <c r="Y194" s="2">
        <v>2</v>
      </c>
      <c r="Z194" s="2">
        <f>Y194-X194</f>
        <v>0</v>
      </c>
      <c r="AA194" s="2">
        <f>(Z194/E194)*60</f>
        <v>0</v>
      </c>
      <c r="AB194" s="2">
        <v>42</v>
      </c>
      <c r="AC194" s="2">
        <f>(AB194/E194)*60</f>
        <v>15.007444168734491</v>
      </c>
      <c r="AD194" s="2">
        <v>55</v>
      </c>
      <c r="AE194" s="2">
        <f>(AD194/E194)*60</f>
        <v>19.652605459057074</v>
      </c>
      <c r="AF194" s="2">
        <v>10.1</v>
      </c>
      <c r="AG194" s="2">
        <v>5.6</v>
      </c>
      <c r="AH194" s="2">
        <f>AF194-AG194</f>
        <v>4.5</v>
      </c>
      <c r="AI194" s="2">
        <v>8</v>
      </c>
      <c r="AJ194" s="2">
        <f>(AI194/E194)*60</f>
        <v>2.8585607940446649</v>
      </c>
      <c r="AK194" s="2">
        <v>9</v>
      </c>
      <c r="AL194" s="2">
        <v>6</v>
      </c>
      <c r="AM194" s="2">
        <f>(AL194/E194)*60</f>
        <v>2.1439205955334986</v>
      </c>
      <c r="AN194" s="2" t="s">
        <v>320</v>
      </c>
      <c r="AO194" s="2">
        <v>139</v>
      </c>
      <c r="AP194" s="2">
        <v>67</v>
      </c>
      <c r="AQ194" s="14">
        <f>(AP194/E194)*60</f>
        <v>23.94044665012407</v>
      </c>
    </row>
    <row r="195" spans="1:43" x14ac:dyDescent="0.35">
      <c r="A195" s="5" t="s">
        <v>257</v>
      </c>
      <c r="B195" s="5" t="s">
        <v>108</v>
      </c>
      <c r="C195" s="2" t="s">
        <v>39</v>
      </c>
      <c r="D195" s="2">
        <v>12</v>
      </c>
      <c r="E195" s="3">
        <v>241.98333333333332</v>
      </c>
      <c r="F195" s="2">
        <v>6</v>
      </c>
      <c r="G195" s="14">
        <f>(F195/E195)*60</f>
        <v>1.4877057648598389</v>
      </c>
      <c r="H195" s="2">
        <v>1</v>
      </c>
      <c r="I195" s="14">
        <f>(H195/E195)*60</f>
        <v>0.24795096080997314</v>
      </c>
      <c r="J195" s="2">
        <v>7</v>
      </c>
      <c r="K195" s="2">
        <v>0</v>
      </c>
      <c r="L195" s="2">
        <v>78</v>
      </c>
      <c r="M195" s="2">
        <v>37</v>
      </c>
      <c r="N195" s="2">
        <v>0.26</v>
      </c>
      <c r="O195" s="2">
        <v>1.68</v>
      </c>
      <c r="P195" s="2">
        <f>(O195/E195)*60</f>
        <v>0.41655761416075487</v>
      </c>
      <c r="Q195" s="2">
        <v>0</v>
      </c>
      <c r="R195" s="2">
        <v>0</v>
      </c>
      <c r="S195" s="2">
        <v>0</v>
      </c>
      <c r="T195" s="2">
        <v>0</v>
      </c>
      <c r="U195" s="2">
        <v>1</v>
      </c>
      <c r="V195" s="12">
        <v>13</v>
      </c>
      <c r="W195" s="2">
        <v>14</v>
      </c>
      <c r="X195" s="2">
        <v>6</v>
      </c>
      <c r="Y195" s="2">
        <v>2</v>
      </c>
      <c r="Z195" s="2">
        <f>Y195-X195</f>
        <v>-4</v>
      </c>
      <c r="AA195" s="2">
        <f>(Z195/E195)*60</f>
        <v>-0.99180384323989257</v>
      </c>
      <c r="AB195" s="2">
        <v>112</v>
      </c>
      <c r="AC195" s="2">
        <f>(AB195/E195)*60</f>
        <v>27.770507610716994</v>
      </c>
      <c r="AD195" s="2">
        <v>75</v>
      </c>
      <c r="AE195" s="2">
        <f>(AD195/E195)*60</f>
        <v>18.596322060747987</v>
      </c>
      <c r="AF195" s="2">
        <v>9.3000000000000007</v>
      </c>
      <c r="AG195" s="2">
        <v>16.100000000000001</v>
      </c>
      <c r="AH195" s="2">
        <f>AF195-AG195</f>
        <v>-6.8000000000000007</v>
      </c>
      <c r="AI195" s="2">
        <v>0</v>
      </c>
      <c r="AJ195" s="2">
        <f>(AI195/E195)*60</f>
        <v>0</v>
      </c>
      <c r="AK195" s="2">
        <v>3</v>
      </c>
      <c r="AL195" s="2">
        <v>4</v>
      </c>
      <c r="AM195" s="2">
        <f>(AL195/E195)*60</f>
        <v>0.99180384323989257</v>
      </c>
      <c r="AN195" s="2" t="s">
        <v>188</v>
      </c>
      <c r="AO195" s="2">
        <v>171</v>
      </c>
      <c r="AP195" s="2">
        <v>93</v>
      </c>
      <c r="AQ195" s="14">
        <f>(AP195/E195)*60</f>
        <v>23.059439355327505</v>
      </c>
    </row>
    <row r="196" spans="1:43" x14ac:dyDescent="0.35">
      <c r="A196" s="5" t="s">
        <v>266</v>
      </c>
      <c r="B196" s="5" t="s">
        <v>78</v>
      </c>
      <c r="C196" s="2" t="s">
        <v>39</v>
      </c>
      <c r="D196" s="2">
        <v>12</v>
      </c>
      <c r="E196" s="3">
        <v>257.63333333333333</v>
      </c>
      <c r="F196" s="2">
        <v>2</v>
      </c>
      <c r="G196" s="14">
        <f>(F196/E196)*60</f>
        <v>0.46577823780566696</v>
      </c>
      <c r="H196" s="2">
        <v>2</v>
      </c>
      <c r="I196" s="14">
        <f>(H196/E196)*60</f>
        <v>0.46577823780566696</v>
      </c>
      <c r="J196" s="2">
        <v>4</v>
      </c>
      <c r="K196" s="2">
        <v>2</v>
      </c>
      <c r="L196" s="2">
        <v>50</v>
      </c>
      <c r="M196" s="2">
        <v>24</v>
      </c>
      <c r="N196" s="2">
        <v>0.56999999999999995</v>
      </c>
      <c r="O196" s="2">
        <v>2.5099999999999998</v>
      </c>
      <c r="P196" s="2">
        <f>(O196/E196)*60</f>
        <v>0.58455168844611205</v>
      </c>
      <c r="Q196" s="2">
        <v>0</v>
      </c>
      <c r="R196" s="2">
        <v>0</v>
      </c>
      <c r="S196" s="2">
        <v>0</v>
      </c>
      <c r="T196" s="2">
        <v>0</v>
      </c>
      <c r="U196" s="2">
        <v>3</v>
      </c>
      <c r="V196" s="12">
        <v>12</v>
      </c>
      <c r="W196" s="2">
        <v>9</v>
      </c>
      <c r="X196" s="2">
        <v>2</v>
      </c>
      <c r="Y196" s="2">
        <v>2</v>
      </c>
      <c r="Z196" s="2">
        <f>Y196-X196</f>
        <v>0</v>
      </c>
      <c r="AA196" s="2">
        <f>(Z196/E196)*60</f>
        <v>0</v>
      </c>
      <c r="AB196" s="2">
        <v>104</v>
      </c>
      <c r="AC196" s="2">
        <f>(AB196/E196)*60</f>
        <v>24.220468365894682</v>
      </c>
      <c r="AD196" s="2">
        <v>57</v>
      </c>
      <c r="AE196" s="2">
        <f>(AD196/E196)*60</f>
        <v>13.274679777461509</v>
      </c>
      <c r="AF196" s="2">
        <v>14.6</v>
      </c>
      <c r="AG196" s="2">
        <v>12.9</v>
      </c>
      <c r="AH196" s="2">
        <f>AF196-AG196</f>
        <v>1.6999999999999993</v>
      </c>
      <c r="AI196" s="2">
        <v>2</v>
      </c>
      <c r="AJ196" s="2">
        <f>(AI196/E196)*60</f>
        <v>0.46577823780566696</v>
      </c>
      <c r="AK196" s="2">
        <v>7</v>
      </c>
      <c r="AL196" s="2">
        <v>5</v>
      </c>
      <c r="AM196" s="2">
        <f>(AL196/E196)*60</f>
        <v>1.1644455945141674</v>
      </c>
      <c r="AN196" s="2" t="s">
        <v>267</v>
      </c>
      <c r="AO196" s="2">
        <v>200</v>
      </c>
      <c r="AP196" s="2">
        <v>98</v>
      </c>
      <c r="AQ196" s="14">
        <f>(AP196/E196)*60</f>
        <v>22.823133652477683</v>
      </c>
    </row>
    <row r="197" spans="1:43" x14ac:dyDescent="0.35">
      <c r="A197" s="5" t="s">
        <v>247</v>
      </c>
      <c r="B197" s="5" t="s">
        <v>78</v>
      </c>
      <c r="C197" s="2" t="s">
        <v>31</v>
      </c>
      <c r="D197" s="2">
        <v>12</v>
      </c>
      <c r="E197" s="3">
        <v>244.33333333333334</v>
      </c>
      <c r="F197" s="2">
        <v>7</v>
      </c>
      <c r="G197" s="14">
        <f>(F197/E197)*60</f>
        <v>1.7189631650750341</v>
      </c>
      <c r="H197" s="2">
        <v>2</v>
      </c>
      <c r="I197" s="14">
        <f>(H197/E197)*60</f>
        <v>0.49113233287858116</v>
      </c>
      <c r="J197" s="2">
        <v>9</v>
      </c>
      <c r="K197" s="2">
        <v>13</v>
      </c>
      <c r="L197" s="2">
        <v>58</v>
      </c>
      <c r="M197" s="2">
        <v>32</v>
      </c>
      <c r="N197" s="2">
        <v>1.01</v>
      </c>
      <c r="O197" s="2">
        <v>5.2</v>
      </c>
      <c r="P197" s="2">
        <f>(O197/E197)*60</f>
        <v>1.2769440654843112</v>
      </c>
      <c r="Q197" s="2">
        <v>44</v>
      </c>
      <c r="R197" s="2">
        <v>25</v>
      </c>
      <c r="S197" s="2">
        <v>19</v>
      </c>
      <c r="T197" s="7">
        <v>0.56799999999999995</v>
      </c>
      <c r="U197" s="2">
        <v>4</v>
      </c>
      <c r="V197" s="12">
        <v>14</v>
      </c>
      <c r="W197" s="2">
        <v>10</v>
      </c>
      <c r="X197" s="2">
        <v>4</v>
      </c>
      <c r="Y197" s="2">
        <v>5</v>
      </c>
      <c r="Z197" s="2">
        <f>Y197-X197</f>
        <v>1</v>
      </c>
      <c r="AA197" s="2">
        <f>(Z197/E197)*60</f>
        <v>0.24556616643929058</v>
      </c>
      <c r="AB197" s="2">
        <v>53</v>
      </c>
      <c r="AC197" s="2">
        <f>(AB197/E197)*60</f>
        <v>13.015006821282402</v>
      </c>
      <c r="AD197" s="2">
        <v>79</v>
      </c>
      <c r="AE197" s="2">
        <f>(AD197/E197)*60</f>
        <v>19.399727148703956</v>
      </c>
      <c r="AF197" s="2">
        <v>14.5</v>
      </c>
      <c r="AG197" s="2">
        <v>13.2</v>
      </c>
      <c r="AH197" s="2">
        <f>AF197-AG197</f>
        <v>1.3000000000000007</v>
      </c>
      <c r="AI197" s="2">
        <v>13</v>
      </c>
      <c r="AJ197" s="2">
        <f>(AI197/E197)*60</f>
        <v>3.1923601637107777</v>
      </c>
      <c r="AK197" s="2">
        <v>11</v>
      </c>
      <c r="AL197" s="2">
        <v>7</v>
      </c>
      <c r="AM197" s="2">
        <f>(AL197/E197)*60</f>
        <v>1.7189631650750341</v>
      </c>
      <c r="AN197" s="2" t="s">
        <v>166</v>
      </c>
      <c r="AO197" s="2">
        <v>185</v>
      </c>
      <c r="AP197" s="2">
        <v>92</v>
      </c>
      <c r="AQ197" s="14">
        <f>(AP197/E197)*60</f>
        <v>22.59208731241473</v>
      </c>
    </row>
    <row r="198" spans="1:43" x14ac:dyDescent="0.35">
      <c r="A198" s="5" t="s">
        <v>356</v>
      </c>
      <c r="B198" s="5" t="s">
        <v>105</v>
      </c>
      <c r="C198" s="2" t="s">
        <v>39</v>
      </c>
      <c r="D198" s="2">
        <v>12</v>
      </c>
      <c r="E198" s="3">
        <v>201.41666666666666</v>
      </c>
      <c r="F198" s="2">
        <v>1</v>
      </c>
      <c r="G198" s="14">
        <f>(F198/E198)*60</f>
        <v>0.2978899462143153</v>
      </c>
      <c r="H198" s="2">
        <v>1</v>
      </c>
      <c r="I198" s="14">
        <f>(H198/E198)*60</f>
        <v>0.2978899462143153</v>
      </c>
      <c r="J198" s="2">
        <v>2</v>
      </c>
      <c r="K198" s="2">
        <v>4</v>
      </c>
      <c r="L198" s="2">
        <v>18</v>
      </c>
      <c r="M198" s="2">
        <v>14</v>
      </c>
      <c r="N198" s="2">
        <v>0.63</v>
      </c>
      <c r="O198" s="2">
        <v>1.27</v>
      </c>
      <c r="P198" s="2">
        <f>(O198/E198)*60</f>
        <v>0.37832023169218043</v>
      </c>
      <c r="Q198" s="2">
        <v>0</v>
      </c>
      <c r="R198" s="2">
        <v>0</v>
      </c>
      <c r="S198" s="2">
        <v>0</v>
      </c>
      <c r="T198" s="2">
        <v>0</v>
      </c>
      <c r="U198" s="2">
        <v>6</v>
      </c>
      <c r="V198" s="12">
        <v>5</v>
      </c>
      <c r="W198" s="2">
        <v>11</v>
      </c>
      <c r="X198" s="2">
        <v>2</v>
      </c>
      <c r="Y198" s="2">
        <v>5</v>
      </c>
      <c r="Z198" s="2">
        <f>Y198-X198</f>
        <v>3</v>
      </c>
      <c r="AA198" s="2">
        <f>(Z198/E198)*60</f>
        <v>0.8936698386429458</v>
      </c>
      <c r="AB198" s="2">
        <v>67</v>
      </c>
      <c r="AC198" s="2">
        <f>(AB198/E198)*60</f>
        <v>19.958626396359122</v>
      </c>
      <c r="AD198" s="2">
        <v>62</v>
      </c>
      <c r="AE198" s="2">
        <f>(AD198/E198)*60</f>
        <v>18.469176665287545</v>
      </c>
      <c r="AF198" s="2">
        <v>7.5</v>
      </c>
      <c r="AG198" s="2">
        <v>11.9</v>
      </c>
      <c r="AH198" s="2">
        <f>AF198-AG198</f>
        <v>-4.4000000000000004</v>
      </c>
      <c r="AI198" s="2">
        <v>4</v>
      </c>
      <c r="AJ198" s="2">
        <f>(AI198/E198)*60</f>
        <v>1.1915597848572612</v>
      </c>
      <c r="AK198" s="2">
        <v>1</v>
      </c>
      <c r="AL198" s="2">
        <v>1</v>
      </c>
      <c r="AM198" s="2">
        <f>(AL198/E198)*60</f>
        <v>0.2978899462143153</v>
      </c>
      <c r="AN198" s="2" t="s">
        <v>357</v>
      </c>
      <c r="AO198" s="2">
        <v>113</v>
      </c>
      <c r="AP198" s="2">
        <v>62</v>
      </c>
      <c r="AQ198" s="14">
        <f>(AP198/E198)*60</f>
        <v>18.469176665287545</v>
      </c>
    </row>
    <row r="199" spans="1:43" x14ac:dyDescent="0.35">
      <c r="A199" s="5" t="s">
        <v>395</v>
      </c>
      <c r="B199" s="5" t="s">
        <v>53</v>
      </c>
      <c r="C199" s="2" t="s">
        <v>39</v>
      </c>
      <c r="D199" s="2">
        <v>12</v>
      </c>
      <c r="E199" s="3">
        <v>45.016666666666666</v>
      </c>
      <c r="F199" s="2">
        <v>1</v>
      </c>
      <c r="G199" s="14">
        <f>(F199/E199)*60</f>
        <v>1.3328396890040726</v>
      </c>
      <c r="H199" s="2">
        <v>0</v>
      </c>
      <c r="I199" s="14">
        <f>(H199/E199)*60</f>
        <v>0</v>
      </c>
      <c r="J199" s="2">
        <v>1</v>
      </c>
      <c r="K199" s="2">
        <v>0</v>
      </c>
      <c r="L199" s="2">
        <v>5</v>
      </c>
      <c r="M199" s="2">
        <v>4</v>
      </c>
      <c r="N199" s="2">
        <v>0.08</v>
      </c>
      <c r="O199" s="2">
        <v>0.13</v>
      </c>
      <c r="P199" s="2">
        <f>(O199/E199)*60</f>
        <v>0.17326915957052946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12">
        <v>2</v>
      </c>
      <c r="W199" s="2">
        <v>2</v>
      </c>
      <c r="X199" s="2">
        <v>0</v>
      </c>
      <c r="Y199" s="2">
        <v>1</v>
      </c>
      <c r="Z199" s="2">
        <f>Y199-X199</f>
        <v>1</v>
      </c>
      <c r="AA199" s="2">
        <f>(Z199/E199)*60</f>
        <v>1.3328396890040726</v>
      </c>
      <c r="AB199" s="2">
        <v>7</v>
      </c>
      <c r="AC199" s="2">
        <f>(AB199/E199)*60</f>
        <v>9.3298778230285091</v>
      </c>
      <c r="AD199" s="2">
        <v>4</v>
      </c>
      <c r="AE199" s="2">
        <f>(AD199/E199)*60</f>
        <v>5.3313587560162903</v>
      </c>
      <c r="AF199" s="2">
        <v>2.68</v>
      </c>
      <c r="AG199" s="2">
        <v>2.52</v>
      </c>
      <c r="AH199" s="2">
        <f>AF199-AG199</f>
        <v>0.16000000000000014</v>
      </c>
      <c r="AI199" s="2">
        <v>0</v>
      </c>
      <c r="AJ199" s="2">
        <f>(AI199/E199)*60</f>
        <v>0</v>
      </c>
      <c r="AK199" s="2">
        <v>0</v>
      </c>
      <c r="AL199" s="2">
        <v>2</v>
      </c>
      <c r="AM199" s="2">
        <f>(AL199/E199)*60</f>
        <v>2.6656793780081451</v>
      </c>
      <c r="AN199" s="2" t="s">
        <v>396</v>
      </c>
      <c r="AO199" s="2">
        <v>9</v>
      </c>
      <c r="AP199" s="2">
        <v>6</v>
      </c>
      <c r="AQ199" s="14">
        <f>(AP199/E199)*60</f>
        <v>7.997038134024435</v>
      </c>
    </row>
    <row r="200" spans="1:43" x14ac:dyDescent="0.35">
      <c r="A200" s="5" t="s">
        <v>385</v>
      </c>
      <c r="B200" s="5" t="s">
        <v>105</v>
      </c>
      <c r="C200" s="2" t="s">
        <v>31</v>
      </c>
      <c r="D200" s="2">
        <v>11</v>
      </c>
      <c r="E200" s="3">
        <v>171.08333333333334</v>
      </c>
      <c r="F200" s="2">
        <v>1</v>
      </c>
      <c r="G200" s="14">
        <f>(F200/E200)*60</f>
        <v>0.35070628348757915</v>
      </c>
      <c r="H200" s="2">
        <v>2</v>
      </c>
      <c r="I200" s="14">
        <f>(H200/E200)*60</f>
        <v>0.7014125669751583</v>
      </c>
      <c r="J200" s="2">
        <v>3</v>
      </c>
      <c r="K200" s="2">
        <v>6</v>
      </c>
      <c r="L200" s="2">
        <v>26</v>
      </c>
      <c r="M200" s="2">
        <v>21</v>
      </c>
      <c r="N200" s="2">
        <v>0.79</v>
      </c>
      <c r="O200" s="2">
        <v>2.0099999999999998</v>
      </c>
      <c r="P200" s="2">
        <f>(O200/E200)*60</f>
        <v>0.70491962981003398</v>
      </c>
      <c r="Q200" s="2">
        <v>22</v>
      </c>
      <c r="R200" s="2">
        <v>8</v>
      </c>
      <c r="S200" s="2">
        <v>14</v>
      </c>
      <c r="T200" s="7">
        <v>0.36399999999999999</v>
      </c>
      <c r="U200" s="2">
        <v>5</v>
      </c>
      <c r="V200" s="12">
        <v>4</v>
      </c>
      <c r="W200" s="2">
        <v>9</v>
      </c>
      <c r="X200" s="2">
        <v>0</v>
      </c>
      <c r="Y200" s="2">
        <v>3</v>
      </c>
      <c r="Z200" s="2">
        <f>Y200-X200</f>
        <v>3</v>
      </c>
      <c r="AA200" s="2">
        <f>(Z200/E200)*60</f>
        <v>1.0521188504627372</v>
      </c>
      <c r="AB200" s="2">
        <v>36</v>
      </c>
      <c r="AC200" s="2">
        <f>(AB200/E200)*60</f>
        <v>12.625426205552849</v>
      </c>
      <c r="AD200" s="2">
        <v>61</v>
      </c>
      <c r="AE200" s="2">
        <f>(AD200/E200)*60</f>
        <v>21.393083292742329</v>
      </c>
      <c r="AF200" s="2">
        <v>6.4</v>
      </c>
      <c r="AG200" s="2">
        <v>9.1999999999999993</v>
      </c>
      <c r="AH200" s="2">
        <f>AF200-AG200</f>
        <v>-2.7999999999999989</v>
      </c>
      <c r="AI200" s="2">
        <v>6</v>
      </c>
      <c r="AJ200" s="2">
        <f>(AI200/E200)*60</f>
        <v>2.1042377009254745</v>
      </c>
      <c r="AK200" s="2">
        <v>1</v>
      </c>
      <c r="AL200" s="2">
        <v>12</v>
      </c>
      <c r="AM200" s="2">
        <f>(AL200/E200)*60</f>
        <v>4.2084754018509489</v>
      </c>
      <c r="AN200" s="2" t="s">
        <v>332</v>
      </c>
      <c r="AO200" s="2">
        <v>110</v>
      </c>
      <c r="AP200" s="2">
        <v>58</v>
      </c>
      <c r="AQ200" s="14">
        <f>(AP200/E200)*60</f>
        <v>20.340964442279589</v>
      </c>
    </row>
    <row r="201" spans="1:43" x14ac:dyDescent="0.35">
      <c r="A201" s="5" t="s">
        <v>413</v>
      </c>
      <c r="B201" s="5" t="s">
        <v>71</v>
      </c>
      <c r="C201" s="2" t="s">
        <v>39</v>
      </c>
      <c r="D201" s="2">
        <v>11</v>
      </c>
      <c r="E201" s="3">
        <v>92.166666666666671</v>
      </c>
      <c r="F201" s="2">
        <v>0</v>
      </c>
      <c r="G201" s="14">
        <f>(F201/E201)*60</f>
        <v>0</v>
      </c>
      <c r="H201" s="2">
        <v>0</v>
      </c>
      <c r="I201" s="14">
        <f>(H201/E201)*60</f>
        <v>0</v>
      </c>
      <c r="J201" s="2">
        <v>0</v>
      </c>
      <c r="K201" s="2">
        <v>0</v>
      </c>
      <c r="L201" s="2">
        <v>16</v>
      </c>
      <c r="M201" s="2">
        <v>8</v>
      </c>
      <c r="N201" s="2">
        <v>0.15</v>
      </c>
      <c r="O201" s="2">
        <v>0.48</v>
      </c>
      <c r="P201" s="2">
        <f>(O201/E201)*60</f>
        <v>0.31247739602169977</v>
      </c>
      <c r="Q201" s="2">
        <v>0</v>
      </c>
      <c r="R201" s="2">
        <v>0</v>
      </c>
      <c r="S201" s="2">
        <v>0</v>
      </c>
      <c r="T201" s="2">
        <v>0</v>
      </c>
      <c r="U201" s="2">
        <v>3</v>
      </c>
      <c r="V201" s="12">
        <v>1</v>
      </c>
      <c r="W201" s="2">
        <v>4</v>
      </c>
      <c r="X201" s="2">
        <v>0</v>
      </c>
      <c r="Y201" s="2">
        <v>0</v>
      </c>
      <c r="Z201" s="2">
        <f>Y201-X201</f>
        <v>0</v>
      </c>
      <c r="AA201" s="2">
        <f>(Z201/E201)*60</f>
        <v>0</v>
      </c>
      <c r="AB201" s="2">
        <v>12</v>
      </c>
      <c r="AC201" s="2">
        <f>(AB201/E201)*60</f>
        <v>7.8119349005424947</v>
      </c>
      <c r="AD201" s="2">
        <v>4</v>
      </c>
      <c r="AE201" s="2">
        <f>(AD201/E201)*60</f>
        <v>2.6039783001808319</v>
      </c>
      <c r="AF201" s="2">
        <v>5.0999999999999996</v>
      </c>
      <c r="AG201" s="2">
        <v>6</v>
      </c>
      <c r="AH201" s="2">
        <f>AF201-AG201</f>
        <v>-0.90000000000000036</v>
      </c>
      <c r="AI201" s="2">
        <v>0</v>
      </c>
      <c r="AJ201" s="2">
        <f>(AI201/E201)*60</f>
        <v>0</v>
      </c>
      <c r="AK201" s="2">
        <v>0</v>
      </c>
      <c r="AL201" s="2">
        <v>1</v>
      </c>
      <c r="AM201" s="2">
        <f>(AL201/E201)*60</f>
        <v>0.65099457504520797</v>
      </c>
      <c r="AN201" s="2" t="s">
        <v>414</v>
      </c>
      <c r="AO201" s="2">
        <v>27</v>
      </c>
      <c r="AP201" s="2">
        <v>15</v>
      </c>
      <c r="AQ201" s="14">
        <f>(AP201/E201)*60</f>
        <v>9.7649186256781189</v>
      </c>
    </row>
    <row r="202" spans="1:43" x14ac:dyDescent="0.35">
      <c r="A202" s="5" t="s">
        <v>459</v>
      </c>
      <c r="B202" s="5" t="s">
        <v>105</v>
      </c>
      <c r="C202" s="2" t="s">
        <v>31</v>
      </c>
      <c r="D202" s="2">
        <v>10</v>
      </c>
      <c r="E202" s="3">
        <v>40.68333333333333</v>
      </c>
      <c r="F202" s="2">
        <v>0</v>
      </c>
      <c r="G202" s="14">
        <f>(F202/E202)*60</f>
        <v>0</v>
      </c>
      <c r="H202" s="2">
        <v>0</v>
      </c>
      <c r="I202" s="14">
        <f>(H202/E202)*60</f>
        <v>0</v>
      </c>
      <c r="J202" s="2">
        <v>0</v>
      </c>
      <c r="K202" s="2">
        <v>0</v>
      </c>
      <c r="L202" s="2">
        <v>2</v>
      </c>
      <c r="M202" s="2">
        <v>1</v>
      </c>
      <c r="N202" s="2">
        <v>0.11</v>
      </c>
      <c r="O202" s="2">
        <v>0.11</v>
      </c>
      <c r="P202" s="2">
        <f>(O202/E202)*60</f>
        <v>0.16222859483818108</v>
      </c>
      <c r="Q202" s="2">
        <v>0</v>
      </c>
      <c r="R202" s="2">
        <v>0</v>
      </c>
      <c r="S202" s="2">
        <v>0</v>
      </c>
      <c r="T202" s="2">
        <v>0</v>
      </c>
      <c r="U202" s="2">
        <v>2</v>
      </c>
      <c r="V202" s="12">
        <v>0</v>
      </c>
      <c r="W202" s="2">
        <v>2</v>
      </c>
      <c r="X202" s="2">
        <v>0</v>
      </c>
      <c r="Y202" s="2">
        <v>0</v>
      </c>
      <c r="Z202" s="2">
        <f>Y202-X202</f>
        <v>0</v>
      </c>
      <c r="AA202" s="2">
        <f>(Z202/E202)*60</f>
        <v>0</v>
      </c>
      <c r="AB202" s="2">
        <v>6</v>
      </c>
      <c r="AC202" s="2">
        <f>(AB202/E202)*60</f>
        <v>8.8488324457189691</v>
      </c>
      <c r="AD202" s="2">
        <v>16</v>
      </c>
      <c r="AE202" s="2">
        <f>(AD202/E202)*60</f>
        <v>23.596886521917249</v>
      </c>
      <c r="AF202" s="2">
        <v>1.19</v>
      </c>
      <c r="AG202" s="2">
        <v>2.65</v>
      </c>
      <c r="AH202" s="2">
        <f>AF202-AG202</f>
        <v>-1.46</v>
      </c>
      <c r="AI202" s="2">
        <v>0</v>
      </c>
      <c r="AJ202" s="2">
        <f>(AI202/E202)*60</f>
        <v>0</v>
      </c>
      <c r="AK202" s="2">
        <v>2</v>
      </c>
      <c r="AL202" s="2">
        <v>0</v>
      </c>
      <c r="AM202" s="2">
        <f>(AL202/E202)*60</f>
        <v>0</v>
      </c>
      <c r="AN202" s="2" t="s">
        <v>460</v>
      </c>
      <c r="AO202" s="2">
        <v>27</v>
      </c>
      <c r="AP202" s="2">
        <v>14</v>
      </c>
      <c r="AQ202" s="14">
        <f>(AP202/E202)*60</f>
        <v>20.647275706677593</v>
      </c>
    </row>
    <row r="203" spans="1:43" x14ac:dyDescent="0.35">
      <c r="A203" s="5" t="s">
        <v>369</v>
      </c>
      <c r="B203" s="5" t="s">
        <v>34</v>
      </c>
      <c r="C203" s="2" t="s">
        <v>31</v>
      </c>
      <c r="D203" s="2">
        <v>10</v>
      </c>
      <c r="E203" s="3">
        <v>165.23333333333332</v>
      </c>
      <c r="F203" s="2">
        <v>0</v>
      </c>
      <c r="G203" s="14">
        <f>(F203/E203)*60</f>
        <v>0</v>
      </c>
      <c r="H203" s="2">
        <v>2</v>
      </c>
      <c r="I203" s="14">
        <f>(H203/E203)*60</f>
        <v>0.72624571313294339</v>
      </c>
      <c r="J203" s="2">
        <v>2</v>
      </c>
      <c r="K203" s="2">
        <v>4</v>
      </c>
      <c r="L203" s="2">
        <v>20</v>
      </c>
      <c r="M203" s="2">
        <v>7</v>
      </c>
      <c r="N203" s="2">
        <v>0.8</v>
      </c>
      <c r="O203" s="2">
        <v>1.74</v>
      </c>
      <c r="P203" s="2">
        <f>(O203/E203)*60</f>
        <v>0.63183377042566069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12">
        <v>4</v>
      </c>
      <c r="W203" s="2">
        <v>4</v>
      </c>
      <c r="X203" s="2">
        <v>2</v>
      </c>
      <c r="Y203" s="2">
        <v>2</v>
      </c>
      <c r="Z203" s="2">
        <f>Y203-X203</f>
        <v>0</v>
      </c>
      <c r="AA203" s="2">
        <f>(Z203/E203)*60</f>
        <v>0</v>
      </c>
      <c r="AB203" s="2">
        <v>6</v>
      </c>
      <c r="AC203" s="2">
        <f>(AB203/E203)*60</f>
        <v>2.1787371393988302</v>
      </c>
      <c r="AD203" s="2">
        <v>12</v>
      </c>
      <c r="AE203" s="2">
        <f>(AD203/E203)*60</f>
        <v>4.3574742787976604</v>
      </c>
      <c r="AF203" s="2">
        <v>4.87</v>
      </c>
      <c r="AG203" s="2">
        <v>10.1</v>
      </c>
      <c r="AH203" s="2">
        <f>AF203-AG203</f>
        <v>-5.2299999999999995</v>
      </c>
      <c r="AI203" s="2">
        <v>4</v>
      </c>
      <c r="AJ203" s="2">
        <f>(AI203/E203)*60</f>
        <v>1.4524914262658868</v>
      </c>
      <c r="AK203" s="2">
        <v>0</v>
      </c>
      <c r="AL203" s="2">
        <v>0</v>
      </c>
      <c r="AM203" s="2">
        <f>(AL203/E203)*60</f>
        <v>0</v>
      </c>
      <c r="AN203" s="2" t="s">
        <v>370</v>
      </c>
      <c r="AO203" s="2">
        <v>26</v>
      </c>
      <c r="AP203" s="2">
        <v>17</v>
      </c>
      <c r="AQ203" s="14">
        <f>(AP203/E203)*60</f>
        <v>6.1730885616300188</v>
      </c>
    </row>
    <row r="204" spans="1:43" x14ac:dyDescent="0.35">
      <c r="A204" s="5" t="s">
        <v>391</v>
      </c>
      <c r="B204" s="5" t="s">
        <v>105</v>
      </c>
      <c r="C204" s="2" t="s">
        <v>31</v>
      </c>
      <c r="D204" s="2">
        <v>9</v>
      </c>
      <c r="E204" s="3">
        <v>108.68333333333334</v>
      </c>
      <c r="F204" s="2">
        <v>0</v>
      </c>
      <c r="G204" s="14">
        <f>(F204/E204)*60</f>
        <v>0</v>
      </c>
      <c r="H204" s="2">
        <v>2</v>
      </c>
      <c r="I204" s="14">
        <f>(H204/E204)*60</f>
        <v>1.1041251341818739</v>
      </c>
      <c r="J204" s="2">
        <v>2</v>
      </c>
      <c r="K204" s="2">
        <v>7</v>
      </c>
      <c r="L204" s="2">
        <v>17</v>
      </c>
      <c r="M204" s="2">
        <v>13</v>
      </c>
      <c r="N204" s="2">
        <v>0.56000000000000005</v>
      </c>
      <c r="O204" s="2">
        <v>1.95</v>
      </c>
      <c r="P204" s="2">
        <f>(O204/E204)*60</f>
        <v>1.076522005827327</v>
      </c>
      <c r="Q204" s="2">
        <v>0</v>
      </c>
      <c r="R204" s="2">
        <v>0</v>
      </c>
      <c r="S204" s="2">
        <v>0</v>
      </c>
      <c r="T204" s="2">
        <v>0</v>
      </c>
      <c r="U204" s="2">
        <v>2</v>
      </c>
      <c r="V204" s="12">
        <v>2</v>
      </c>
      <c r="W204" s="2">
        <v>4</v>
      </c>
      <c r="X204" s="2">
        <v>2</v>
      </c>
      <c r="Y204" s="2">
        <v>1</v>
      </c>
      <c r="Z204" s="2">
        <f>Y204-X204</f>
        <v>-1</v>
      </c>
      <c r="AA204" s="2">
        <f>(Z204/E204)*60</f>
        <v>-0.55206256709093693</v>
      </c>
      <c r="AB204" s="2">
        <v>24</v>
      </c>
      <c r="AC204" s="2">
        <f>(AB204/E204)*60</f>
        <v>13.249501610182486</v>
      </c>
      <c r="AD204" s="2">
        <v>39</v>
      </c>
      <c r="AE204" s="2">
        <f>(AD204/E204)*60</f>
        <v>21.53044011654654</v>
      </c>
      <c r="AF204" s="2">
        <v>6.3</v>
      </c>
      <c r="AG204" s="2">
        <v>7</v>
      </c>
      <c r="AH204" s="2">
        <f>AF204-AG204</f>
        <v>-0.70000000000000018</v>
      </c>
      <c r="AI204" s="2">
        <v>7</v>
      </c>
      <c r="AJ204" s="2">
        <f>(AI204/E204)*60</f>
        <v>3.8644379696365583</v>
      </c>
      <c r="AK204" s="2">
        <v>5</v>
      </c>
      <c r="AL204" s="2">
        <v>4</v>
      </c>
      <c r="AM204" s="2">
        <f>(AL204/E204)*60</f>
        <v>2.2082502683637477</v>
      </c>
      <c r="AN204" s="2" t="s">
        <v>392</v>
      </c>
      <c r="AO204" s="2">
        <v>79</v>
      </c>
      <c r="AP204" s="2">
        <v>34</v>
      </c>
      <c r="AQ204" s="14">
        <f>(AP204/E204)*60</f>
        <v>18.770127281091856</v>
      </c>
    </row>
    <row r="205" spans="1:43" x14ac:dyDescent="0.35">
      <c r="A205" s="5" t="s">
        <v>447</v>
      </c>
      <c r="B205" s="5" t="s">
        <v>122</v>
      </c>
      <c r="C205" s="2" t="s">
        <v>39</v>
      </c>
      <c r="D205" s="2">
        <v>9</v>
      </c>
      <c r="E205" s="3">
        <v>57.266666666666666</v>
      </c>
      <c r="F205" s="2">
        <v>0</v>
      </c>
      <c r="G205" s="14">
        <f>(F205/E205)*60</f>
        <v>0</v>
      </c>
      <c r="H205" s="2">
        <v>0</v>
      </c>
      <c r="I205" s="14">
        <f>(H205/E205)*60</f>
        <v>0</v>
      </c>
      <c r="J205" s="2">
        <v>0</v>
      </c>
      <c r="K205" s="2">
        <v>0</v>
      </c>
      <c r="L205" s="2">
        <v>5</v>
      </c>
      <c r="M205" s="2">
        <v>0</v>
      </c>
      <c r="N205" s="2">
        <v>0.06</v>
      </c>
      <c r="O205" s="2">
        <v>0.08</v>
      </c>
      <c r="P205" s="2">
        <f>(O205/E205)*60</f>
        <v>8.381839348079162E-2</v>
      </c>
      <c r="Q205" s="2">
        <v>0</v>
      </c>
      <c r="R205" s="2">
        <v>0</v>
      </c>
      <c r="S205" s="2">
        <v>0</v>
      </c>
      <c r="T205" s="2">
        <v>0</v>
      </c>
      <c r="U205" s="2">
        <v>1</v>
      </c>
      <c r="V205" s="12">
        <v>0</v>
      </c>
      <c r="W205" s="2">
        <v>1</v>
      </c>
      <c r="X205" s="2">
        <v>2</v>
      </c>
      <c r="Y205" s="2">
        <v>0</v>
      </c>
      <c r="Z205" s="2">
        <f>Y205-X205</f>
        <v>-2</v>
      </c>
      <c r="AA205" s="2">
        <f>(Z205/E205)*60</f>
        <v>-2.0954598370197903</v>
      </c>
      <c r="AB205" s="2">
        <v>15</v>
      </c>
      <c r="AC205" s="2">
        <f>(AB205/E205)*60</f>
        <v>15.715948777648428</v>
      </c>
      <c r="AD205" s="2">
        <v>7</v>
      </c>
      <c r="AE205" s="2">
        <f>(AD205/E205)*60</f>
        <v>7.334109429569267</v>
      </c>
      <c r="AF205" s="2">
        <v>1.81</v>
      </c>
      <c r="AG205" s="2">
        <v>3.08</v>
      </c>
      <c r="AH205" s="2">
        <f>AF205-AG205</f>
        <v>-1.27</v>
      </c>
      <c r="AI205" s="2">
        <v>0</v>
      </c>
      <c r="AJ205" s="2">
        <f>(AI205/E205)*60</f>
        <v>0</v>
      </c>
      <c r="AK205" s="2">
        <v>0</v>
      </c>
      <c r="AL205" s="2">
        <v>2</v>
      </c>
      <c r="AM205" s="2">
        <f>(AL205/E205)*60</f>
        <v>2.0954598370197903</v>
      </c>
      <c r="AN205" s="2" t="s">
        <v>448</v>
      </c>
      <c r="AO205" s="2">
        <v>37</v>
      </c>
      <c r="AP205" s="2">
        <v>12</v>
      </c>
      <c r="AQ205" s="14">
        <f>(AP205/E205)*60</f>
        <v>12.572759022118744</v>
      </c>
    </row>
    <row r="206" spans="1:43" x14ac:dyDescent="0.35">
      <c r="A206" s="5" t="s">
        <v>404</v>
      </c>
      <c r="B206" s="5" t="s">
        <v>34</v>
      </c>
      <c r="C206" s="2" t="s">
        <v>39</v>
      </c>
      <c r="D206" s="2">
        <v>8</v>
      </c>
      <c r="E206" s="3">
        <v>22.016666666666666</v>
      </c>
      <c r="F206" s="2">
        <v>0</v>
      </c>
      <c r="G206" s="14">
        <f>(F206/E206)*60</f>
        <v>0</v>
      </c>
      <c r="H206" s="2">
        <v>0</v>
      </c>
      <c r="I206" s="14">
        <f>(H206/E206)*60</f>
        <v>0</v>
      </c>
      <c r="J206" s="2">
        <v>0</v>
      </c>
      <c r="K206" s="2">
        <v>0</v>
      </c>
      <c r="L206" s="2">
        <v>2</v>
      </c>
      <c r="M206" s="2">
        <v>2</v>
      </c>
      <c r="N206" s="2">
        <v>0.04</v>
      </c>
      <c r="O206" s="2">
        <v>0.04</v>
      </c>
      <c r="P206" s="2">
        <f>(O206/E206)*60</f>
        <v>0.10900832702498109</v>
      </c>
      <c r="Q206" s="2">
        <v>0</v>
      </c>
      <c r="R206" s="2">
        <v>0</v>
      </c>
      <c r="S206" s="2">
        <v>0</v>
      </c>
      <c r="T206" s="2">
        <v>0</v>
      </c>
      <c r="U206" s="2">
        <v>2</v>
      </c>
      <c r="V206" s="12">
        <v>2</v>
      </c>
      <c r="W206" s="2">
        <v>0</v>
      </c>
      <c r="X206" s="2">
        <v>0</v>
      </c>
      <c r="Y206" s="2">
        <v>0</v>
      </c>
      <c r="Z206" s="2">
        <f>Y206-X206</f>
        <v>0</v>
      </c>
      <c r="AA206" s="2">
        <f>(Z206/E206)*60</f>
        <v>0</v>
      </c>
      <c r="AB206" s="2">
        <v>3</v>
      </c>
      <c r="AC206" s="2">
        <f>(AB206/E206)*60</f>
        <v>8.1756245268735821</v>
      </c>
      <c r="AD206" s="2">
        <v>4</v>
      </c>
      <c r="AE206" s="2">
        <f>(AD206/E206)*60</f>
        <v>10.900832702498109</v>
      </c>
      <c r="AF206" s="2">
        <v>1.69</v>
      </c>
      <c r="AG206" s="2">
        <v>0.9</v>
      </c>
      <c r="AH206" s="2">
        <f>AF206-AG206</f>
        <v>0.78999999999999992</v>
      </c>
      <c r="AI206" s="2">
        <v>0</v>
      </c>
      <c r="AJ206" s="2">
        <f>(AI206/E206)*60</f>
        <v>0</v>
      </c>
      <c r="AK206" s="2">
        <v>0</v>
      </c>
      <c r="AL206" s="2">
        <v>0</v>
      </c>
      <c r="AM206" s="2">
        <f>(AL206/E206)*60</f>
        <v>0</v>
      </c>
      <c r="AN206" s="2" t="s">
        <v>405</v>
      </c>
      <c r="AO206" s="2">
        <v>2</v>
      </c>
      <c r="AP206" s="2">
        <v>1</v>
      </c>
      <c r="AQ206" s="14">
        <f>(AP206/E206)*60</f>
        <v>2.7252081756245272</v>
      </c>
    </row>
    <row r="207" spans="1:43" x14ac:dyDescent="0.35">
      <c r="A207" s="5" t="s">
        <v>354</v>
      </c>
      <c r="B207" s="5" t="s">
        <v>34</v>
      </c>
      <c r="C207" s="2" t="s">
        <v>31</v>
      </c>
      <c r="D207" s="2">
        <v>7</v>
      </c>
      <c r="E207" s="3">
        <v>123.3</v>
      </c>
      <c r="F207" s="2">
        <v>0</v>
      </c>
      <c r="G207" s="14">
        <f>(F207/E207)*60</f>
        <v>0</v>
      </c>
      <c r="H207" s="2">
        <v>3</v>
      </c>
      <c r="I207" s="14">
        <f>(H207/E207)*60</f>
        <v>1.4598540145985401</v>
      </c>
      <c r="J207" s="2">
        <v>3</v>
      </c>
      <c r="K207" s="2">
        <v>4</v>
      </c>
      <c r="L207" s="2">
        <v>15</v>
      </c>
      <c r="M207" s="2">
        <v>6</v>
      </c>
      <c r="N207" s="2">
        <v>0.48</v>
      </c>
      <c r="O207" s="2">
        <v>1.39</v>
      </c>
      <c r="P207" s="2">
        <f>(O207/E207)*60</f>
        <v>0.67639902676399022</v>
      </c>
      <c r="Q207" s="2">
        <v>0</v>
      </c>
      <c r="R207" s="2">
        <v>0</v>
      </c>
      <c r="S207" s="2">
        <v>0</v>
      </c>
      <c r="T207" s="2">
        <v>0</v>
      </c>
      <c r="U207" s="2">
        <v>1</v>
      </c>
      <c r="V207" s="12">
        <v>5</v>
      </c>
      <c r="W207" s="2">
        <v>4</v>
      </c>
      <c r="X207" s="2">
        <v>2</v>
      </c>
      <c r="Y207" s="2">
        <v>0</v>
      </c>
      <c r="Z207" s="2">
        <f>Y207-X207</f>
        <v>-2</v>
      </c>
      <c r="AA207" s="2">
        <f>(Z207/E207)*60</f>
        <v>-0.97323600973236002</v>
      </c>
      <c r="AB207" s="2">
        <v>14</v>
      </c>
      <c r="AC207" s="2">
        <f>(AB207/E207)*60</f>
        <v>6.8126520681265212</v>
      </c>
      <c r="AD207" s="2">
        <v>38</v>
      </c>
      <c r="AE207" s="2">
        <f>(AD207/E207)*60</f>
        <v>18.491484184914842</v>
      </c>
      <c r="AF207" s="2">
        <v>7</v>
      </c>
      <c r="AG207" s="2">
        <v>6.1</v>
      </c>
      <c r="AH207" s="2">
        <f>AF207-AG207</f>
        <v>0.90000000000000036</v>
      </c>
      <c r="AI207" s="2">
        <v>4</v>
      </c>
      <c r="AJ207" s="2">
        <f>(AI207/E207)*60</f>
        <v>1.94647201946472</v>
      </c>
      <c r="AK207" s="2">
        <v>5</v>
      </c>
      <c r="AL207" s="2">
        <v>5</v>
      </c>
      <c r="AM207" s="2">
        <f>(AL207/E207)*60</f>
        <v>2.4330900243309004</v>
      </c>
      <c r="AN207" s="2" t="s">
        <v>355</v>
      </c>
      <c r="AO207" s="2">
        <v>108</v>
      </c>
      <c r="AP207" s="2">
        <v>55</v>
      </c>
      <c r="AQ207" s="14">
        <f>(AP207/E207)*60</f>
        <v>26.763990267639901</v>
      </c>
    </row>
    <row r="208" spans="1:43" x14ac:dyDescent="0.35">
      <c r="A208" s="5" t="s">
        <v>461</v>
      </c>
      <c r="B208" s="5" t="s">
        <v>46</v>
      </c>
      <c r="C208" s="2" t="s">
        <v>31</v>
      </c>
      <c r="D208" s="2">
        <v>7</v>
      </c>
      <c r="E208" s="3">
        <v>53.3</v>
      </c>
      <c r="F208" s="2">
        <v>0</v>
      </c>
      <c r="G208" s="14">
        <f>(F208/E208)*60</f>
        <v>0</v>
      </c>
      <c r="H208" s="2">
        <v>0</v>
      </c>
      <c r="I208" s="14">
        <f>(H208/E208)*60</f>
        <v>0</v>
      </c>
      <c r="J208" s="2">
        <v>0</v>
      </c>
      <c r="K208" s="2">
        <v>1</v>
      </c>
      <c r="L208" s="2">
        <v>1</v>
      </c>
      <c r="M208" s="2">
        <v>1</v>
      </c>
      <c r="N208" s="2">
        <v>0.25</v>
      </c>
      <c r="O208" s="2">
        <v>0.25</v>
      </c>
      <c r="P208" s="2">
        <f>(O208/E208)*60</f>
        <v>0.2814258911819888</v>
      </c>
      <c r="Q208" s="2">
        <v>35</v>
      </c>
      <c r="R208" s="2">
        <v>12</v>
      </c>
      <c r="S208" s="2">
        <v>23</v>
      </c>
      <c r="T208" s="7">
        <v>0.34300000000000003</v>
      </c>
      <c r="U208" s="2">
        <v>0</v>
      </c>
      <c r="V208" s="12">
        <v>0</v>
      </c>
      <c r="W208" s="2">
        <v>0</v>
      </c>
      <c r="X208" s="2">
        <v>0</v>
      </c>
      <c r="Y208" s="2">
        <v>0</v>
      </c>
      <c r="Z208" s="2">
        <f>Y208-X208</f>
        <v>0</v>
      </c>
      <c r="AA208" s="2">
        <f>(Z208/E208)*60</f>
        <v>0</v>
      </c>
      <c r="AB208" s="2">
        <v>13</v>
      </c>
      <c r="AC208" s="2">
        <f>(AB208/E208)*60</f>
        <v>14.634146341463415</v>
      </c>
      <c r="AD208" s="2">
        <v>15</v>
      </c>
      <c r="AE208" s="2">
        <f>(AD208/E208)*60</f>
        <v>16.885553470919323</v>
      </c>
      <c r="AF208" s="2">
        <v>2.62</v>
      </c>
      <c r="AG208" s="2">
        <v>2.37</v>
      </c>
      <c r="AH208" s="2">
        <f>AF208-AG208</f>
        <v>0.25</v>
      </c>
      <c r="AI208" s="2">
        <v>1</v>
      </c>
      <c r="AJ208" s="2">
        <f>(AI208/E208)*60</f>
        <v>1.1257035647279552</v>
      </c>
      <c r="AK208" s="2">
        <v>1</v>
      </c>
      <c r="AL208" s="2">
        <v>1</v>
      </c>
      <c r="AM208" s="2">
        <f>(AL208/E208)*60</f>
        <v>1.1257035647279552</v>
      </c>
      <c r="AN208" s="2" t="s">
        <v>398</v>
      </c>
      <c r="AO208" s="2">
        <v>46</v>
      </c>
      <c r="AP208" s="2">
        <v>19</v>
      </c>
      <c r="AQ208" s="14">
        <f>(AP208/E208)*60</f>
        <v>21.388367729831145</v>
      </c>
    </row>
    <row r="209" spans="1:43" x14ac:dyDescent="0.35">
      <c r="A209" s="5" t="s">
        <v>438</v>
      </c>
      <c r="B209" s="5" t="s">
        <v>30</v>
      </c>
      <c r="C209" s="2" t="s">
        <v>31</v>
      </c>
      <c r="D209" s="2">
        <v>7</v>
      </c>
      <c r="E209" s="3">
        <v>11.75</v>
      </c>
      <c r="F209" s="2">
        <v>0</v>
      </c>
      <c r="G209" s="14">
        <f>(F209/E209)*60</f>
        <v>0</v>
      </c>
      <c r="H209" s="2">
        <v>0</v>
      </c>
      <c r="I209" s="14">
        <f>(H209/E209)*60</f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f>(O209/E209)*60</f>
        <v>0</v>
      </c>
      <c r="Q209" s="2">
        <v>0</v>
      </c>
      <c r="R209" s="2">
        <v>0</v>
      </c>
      <c r="S209" s="2">
        <v>0</v>
      </c>
      <c r="T209" s="2">
        <v>0</v>
      </c>
      <c r="U209" s="2">
        <v>2</v>
      </c>
      <c r="V209" s="12">
        <v>0</v>
      </c>
      <c r="W209" s="2">
        <v>2</v>
      </c>
      <c r="X209" s="2">
        <v>0</v>
      </c>
      <c r="Y209" s="2">
        <v>0</v>
      </c>
      <c r="Z209" s="2">
        <f>Y209-X209</f>
        <v>0</v>
      </c>
      <c r="AA209" s="2">
        <f>(Z209/E209)*60</f>
        <v>0</v>
      </c>
      <c r="AB209" s="2">
        <v>1</v>
      </c>
      <c r="AC209" s="2">
        <f>(AB209/E209)*60</f>
        <v>5.1063829787234045</v>
      </c>
      <c r="AD209" s="2">
        <v>1</v>
      </c>
      <c r="AE209" s="2">
        <f>(AD209/E209)*60</f>
        <v>5.1063829787234045</v>
      </c>
      <c r="AF209" s="2">
        <v>0.09</v>
      </c>
      <c r="AG209" s="2">
        <v>1.42</v>
      </c>
      <c r="AH209" s="2">
        <f>AF209-AG209</f>
        <v>-1.3299999999999998</v>
      </c>
      <c r="AI209" s="2">
        <v>0</v>
      </c>
      <c r="AJ209" s="2">
        <f>(AI209/E209)*60</f>
        <v>0</v>
      </c>
      <c r="AK209" s="2">
        <v>0</v>
      </c>
      <c r="AL209" s="2">
        <v>0</v>
      </c>
      <c r="AM209" s="2">
        <f>(AL209/E209)*60</f>
        <v>0</v>
      </c>
      <c r="AN209" s="2" t="s">
        <v>439</v>
      </c>
      <c r="AO209" s="2">
        <v>3</v>
      </c>
      <c r="AP209" s="2">
        <v>1</v>
      </c>
      <c r="AQ209" s="14">
        <f>(AP209/E209)*60</f>
        <v>5.1063829787234045</v>
      </c>
    </row>
    <row r="210" spans="1:43" x14ac:dyDescent="0.35">
      <c r="A210" s="5" t="s">
        <v>454</v>
      </c>
      <c r="B210" s="5" t="s">
        <v>71</v>
      </c>
      <c r="C210" s="2" t="s">
        <v>31</v>
      </c>
      <c r="D210" s="2">
        <v>6</v>
      </c>
      <c r="E210" s="3">
        <v>18.899999999999999</v>
      </c>
      <c r="F210" s="2">
        <v>0</v>
      </c>
      <c r="G210" s="14">
        <f>(F210/E210)*60</f>
        <v>0</v>
      </c>
      <c r="H210" s="2">
        <v>0</v>
      </c>
      <c r="I210" s="14">
        <f>(H210/E210)*60</f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f>(O210/E210)*60</f>
        <v>0</v>
      </c>
      <c r="Q210" s="2">
        <v>0</v>
      </c>
      <c r="R210" s="2">
        <v>0</v>
      </c>
      <c r="S210" s="2">
        <v>0</v>
      </c>
      <c r="T210" s="2">
        <v>0</v>
      </c>
      <c r="U210" s="2">
        <v>2</v>
      </c>
      <c r="V210" s="12">
        <v>0</v>
      </c>
      <c r="W210" s="2">
        <v>2</v>
      </c>
      <c r="X210" s="2">
        <v>0</v>
      </c>
      <c r="Y210" s="2">
        <v>0</v>
      </c>
      <c r="Z210" s="2">
        <f>Y210-X210</f>
        <v>0</v>
      </c>
      <c r="AA210" s="2">
        <f>(Z210/E210)*60</f>
        <v>0</v>
      </c>
      <c r="AB210" s="2">
        <v>6</v>
      </c>
      <c r="AC210" s="2">
        <f>(AB210/E210)*60</f>
        <v>19.047619047619051</v>
      </c>
      <c r="AD210" s="2">
        <v>7</v>
      </c>
      <c r="AE210" s="2">
        <f>(AD210/E210)*60</f>
        <v>22.222222222222225</v>
      </c>
      <c r="AF210" s="2">
        <v>0.26</v>
      </c>
      <c r="AG210" s="2">
        <v>0.76</v>
      </c>
      <c r="AH210" s="2">
        <f>AF210-AG210</f>
        <v>-0.5</v>
      </c>
      <c r="AI210" s="2">
        <v>0</v>
      </c>
      <c r="AJ210" s="2">
        <f>(AI210/E210)*60</f>
        <v>0</v>
      </c>
      <c r="AK210" s="2">
        <v>0</v>
      </c>
      <c r="AL210" s="2">
        <v>1</v>
      </c>
      <c r="AM210" s="2">
        <f>(AL210/E210)*60</f>
        <v>3.1746031746031749</v>
      </c>
      <c r="AN210" s="2" t="s">
        <v>455</v>
      </c>
      <c r="AO210" s="2">
        <v>17</v>
      </c>
      <c r="AP210" s="2">
        <v>9</v>
      </c>
      <c r="AQ210" s="14">
        <f>(AP210/E210)*60</f>
        <v>28.571428571428573</v>
      </c>
    </row>
    <row r="211" spans="1:43" x14ac:dyDescent="0.35">
      <c r="A211" s="5" t="s">
        <v>472</v>
      </c>
      <c r="B211" s="5" t="s">
        <v>108</v>
      </c>
      <c r="C211" s="2" t="s">
        <v>31</v>
      </c>
      <c r="D211" s="2">
        <v>6</v>
      </c>
      <c r="E211" s="3">
        <v>35.299999999999997</v>
      </c>
      <c r="F211" s="2">
        <v>0</v>
      </c>
      <c r="G211" s="14">
        <f>(F211/E211)*60</f>
        <v>0</v>
      </c>
      <c r="H211" s="2">
        <v>0</v>
      </c>
      <c r="I211" s="14">
        <f>(H211/E211)*60</f>
        <v>0</v>
      </c>
      <c r="J211" s="2">
        <v>0</v>
      </c>
      <c r="K211" s="2">
        <v>2</v>
      </c>
      <c r="L211" s="2">
        <v>7</v>
      </c>
      <c r="M211" s="2">
        <v>3</v>
      </c>
      <c r="N211" s="2">
        <v>0.15</v>
      </c>
      <c r="O211" s="2">
        <v>0.41</v>
      </c>
      <c r="P211" s="2">
        <f>(O211/E211)*60</f>
        <v>0.69688385269121822</v>
      </c>
      <c r="Q211" s="2">
        <v>21</v>
      </c>
      <c r="R211" s="2">
        <v>6</v>
      </c>
      <c r="S211" s="2">
        <v>15</v>
      </c>
      <c r="T211" s="7">
        <v>0.28599999999999998</v>
      </c>
      <c r="U211" s="2">
        <v>1</v>
      </c>
      <c r="V211" s="12">
        <v>0</v>
      </c>
      <c r="W211" s="2">
        <v>1</v>
      </c>
      <c r="X211" s="2">
        <v>0</v>
      </c>
      <c r="Y211" s="2">
        <v>0</v>
      </c>
      <c r="Z211" s="2">
        <f>Y211-X211</f>
        <v>0</v>
      </c>
      <c r="AA211" s="2">
        <f>(Z211/E211)*60</f>
        <v>0</v>
      </c>
      <c r="AB211" s="2">
        <v>8</v>
      </c>
      <c r="AC211" s="2">
        <f>(AB211/E211)*60</f>
        <v>13.597733711048161</v>
      </c>
      <c r="AD211" s="2">
        <v>14</v>
      </c>
      <c r="AE211" s="2">
        <f>(AD211/E211)*60</f>
        <v>23.796033994334277</v>
      </c>
      <c r="AF211" s="2">
        <v>0.63</v>
      </c>
      <c r="AG211" s="2">
        <v>2.21</v>
      </c>
      <c r="AH211" s="2">
        <f>AF211-AG211</f>
        <v>-1.58</v>
      </c>
      <c r="AI211" s="2">
        <v>2</v>
      </c>
      <c r="AJ211" s="2">
        <f>(AI211/E211)*60</f>
        <v>3.3994334277620402</v>
      </c>
      <c r="AK211" s="2">
        <v>0</v>
      </c>
      <c r="AL211" s="2">
        <v>0</v>
      </c>
      <c r="AM211" s="2">
        <f>(AL211/E211)*60</f>
        <v>0</v>
      </c>
      <c r="AN211" s="2" t="s">
        <v>473</v>
      </c>
      <c r="AO211" s="2">
        <v>25</v>
      </c>
      <c r="AP211" s="2">
        <v>12</v>
      </c>
      <c r="AQ211" s="14">
        <f>(AP211/E211)*60</f>
        <v>20.396600566572239</v>
      </c>
    </row>
    <row r="212" spans="1:43" x14ac:dyDescent="0.35">
      <c r="A212" s="5" t="s">
        <v>411</v>
      </c>
      <c r="B212" s="5" t="s">
        <v>53</v>
      </c>
      <c r="C212" s="2" t="s">
        <v>31</v>
      </c>
      <c r="D212" s="2">
        <v>6</v>
      </c>
      <c r="E212" s="3">
        <v>14.916666666666666</v>
      </c>
      <c r="F212" s="2">
        <v>0</v>
      </c>
      <c r="G212" s="14">
        <f>(F212/E212)*60</f>
        <v>0</v>
      </c>
      <c r="H212" s="2">
        <v>0</v>
      </c>
      <c r="I212" s="14">
        <f>(H212/E212)*60</f>
        <v>0</v>
      </c>
      <c r="J212" s="2">
        <v>0</v>
      </c>
      <c r="K212" s="2">
        <v>0</v>
      </c>
      <c r="L212" s="2">
        <v>1</v>
      </c>
      <c r="M212" s="2">
        <v>1</v>
      </c>
      <c r="N212" s="2">
        <v>0.01</v>
      </c>
      <c r="O212" s="2">
        <v>0.01</v>
      </c>
      <c r="P212" s="2">
        <f>(O212/E212)*60</f>
        <v>4.0223463687150837E-2</v>
      </c>
      <c r="Q212" s="2">
        <v>0</v>
      </c>
      <c r="R212" s="2">
        <v>0</v>
      </c>
      <c r="S212" s="2">
        <v>0</v>
      </c>
      <c r="T212" s="2">
        <v>0</v>
      </c>
      <c r="U212" s="2">
        <v>1</v>
      </c>
      <c r="V212" s="12">
        <v>1</v>
      </c>
      <c r="W212" s="2">
        <v>0</v>
      </c>
      <c r="X212" s="2">
        <v>0</v>
      </c>
      <c r="Y212" s="2">
        <v>0</v>
      </c>
      <c r="Z212" s="2">
        <f>Y212-X212</f>
        <v>0</v>
      </c>
      <c r="AA212" s="2">
        <f>(Z212/E212)*60</f>
        <v>0</v>
      </c>
      <c r="AB212" s="2">
        <v>0</v>
      </c>
      <c r="AC212" s="2">
        <f>(AB212/E212)*60</f>
        <v>0</v>
      </c>
      <c r="AD212" s="2">
        <v>2</v>
      </c>
      <c r="AE212" s="2">
        <f>(AD212/E212)*60</f>
        <v>8.044692737430168</v>
      </c>
      <c r="AF212" s="2">
        <v>0.57999999999999996</v>
      </c>
      <c r="AG212" s="2">
        <v>0.45</v>
      </c>
      <c r="AH212" s="2">
        <f>AF212-AG212</f>
        <v>0.12999999999999995</v>
      </c>
      <c r="AI212" s="2">
        <v>0</v>
      </c>
      <c r="AJ212" s="2">
        <f>(AI212/E212)*60</f>
        <v>0</v>
      </c>
      <c r="AK212" s="2">
        <v>1</v>
      </c>
      <c r="AL212" s="2">
        <v>0</v>
      </c>
      <c r="AM212" s="2">
        <f>(AL212/E212)*60</f>
        <v>0</v>
      </c>
      <c r="AN212" s="2" t="s">
        <v>412</v>
      </c>
      <c r="AO212" s="2">
        <v>9</v>
      </c>
      <c r="AP212" s="2">
        <v>5</v>
      </c>
      <c r="AQ212" s="14">
        <f>(AP212/E212)*60</f>
        <v>20.11173184357542</v>
      </c>
    </row>
    <row r="213" spans="1:43" x14ac:dyDescent="0.35">
      <c r="A213" s="5" t="s">
        <v>436</v>
      </c>
      <c r="B213" s="5" t="s">
        <v>53</v>
      </c>
      <c r="C213" s="2" t="s">
        <v>31</v>
      </c>
      <c r="D213" s="2">
        <v>6</v>
      </c>
      <c r="E213" s="3">
        <v>15.116666666666667</v>
      </c>
      <c r="F213" s="2">
        <v>0</v>
      </c>
      <c r="G213" s="14">
        <f>(F213/E213)*60</f>
        <v>0</v>
      </c>
      <c r="H213" s="2">
        <v>0</v>
      </c>
      <c r="I213" s="14">
        <f>(H213/E213)*60</f>
        <v>0</v>
      </c>
      <c r="J213" s="2">
        <v>0</v>
      </c>
      <c r="K213" s="2">
        <v>0</v>
      </c>
      <c r="L213" s="2">
        <v>3</v>
      </c>
      <c r="M213" s="2">
        <v>3</v>
      </c>
      <c r="N213" s="2">
        <v>0.09</v>
      </c>
      <c r="O213" s="2">
        <v>0.1</v>
      </c>
      <c r="P213" s="2">
        <f>(O213/E213)*60</f>
        <v>0.39691289966923926</v>
      </c>
      <c r="Q213" s="2">
        <v>2</v>
      </c>
      <c r="R213" s="2">
        <v>0</v>
      </c>
      <c r="S213" s="2">
        <v>2</v>
      </c>
      <c r="T213" s="2">
        <v>0</v>
      </c>
      <c r="U213" s="2">
        <v>0</v>
      </c>
      <c r="V213" s="12">
        <v>0</v>
      </c>
      <c r="W213" s="2">
        <v>0</v>
      </c>
      <c r="X213" s="2">
        <v>0</v>
      </c>
      <c r="Y213" s="2">
        <v>0</v>
      </c>
      <c r="Z213" s="2">
        <f>Y213-X213</f>
        <v>0</v>
      </c>
      <c r="AA213" s="2">
        <f>(Z213/E213)*60</f>
        <v>0</v>
      </c>
      <c r="AB213" s="2">
        <v>1</v>
      </c>
      <c r="AC213" s="2">
        <f>(AB213/E213)*60</f>
        <v>3.9691289966923922</v>
      </c>
      <c r="AD213" s="2">
        <v>3</v>
      </c>
      <c r="AE213" s="2">
        <f>(AD213/E213)*60</f>
        <v>11.907386990077178</v>
      </c>
      <c r="AF213" s="2">
        <v>0.56000000000000005</v>
      </c>
      <c r="AG213" s="2">
        <v>0.4</v>
      </c>
      <c r="AH213" s="2">
        <f>AF213-AG213</f>
        <v>0.16000000000000003</v>
      </c>
      <c r="AI213" s="2">
        <v>0</v>
      </c>
      <c r="AJ213" s="2">
        <f>(AI213/E213)*60</f>
        <v>0</v>
      </c>
      <c r="AK213" s="2">
        <v>0</v>
      </c>
      <c r="AL213" s="2">
        <v>0</v>
      </c>
      <c r="AM213" s="2">
        <f>(AL213/E213)*60</f>
        <v>0</v>
      </c>
      <c r="AN213" s="2" t="s">
        <v>437</v>
      </c>
      <c r="AO213" s="2">
        <v>8</v>
      </c>
      <c r="AP213" s="2">
        <v>5</v>
      </c>
      <c r="AQ213" s="14">
        <f>(AP213/E213)*60</f>
        <v>19.845644983461963</v>
      </c>
    </row>
    <row r="214" spans="1:43" x14ac:dyDescent="0.35">
      <c r="A214" s="5" t="s">
        <v>446</v>
      </c>
      <c r="B214" s="5" t="s">
        <v>53</v>
      </c>
      <c r="C214" s="2" t="s">
        <v>31</v>
      </c>
      <c r="D214" s="2">
        <v>6</v>
      </c>
      <c r="E214" s="3">
        <v>35.866666666666667</v>
      </c>
      <c r="F214" s="2">
        <v>0</v>
      </c>
      <c r="G214" s="14">
        <f>(F214/E214)*60</f>
        <v>0</v>
      </c>
      <c r="H214" s="2">
        <v>0</v>
      </c>
      <c r="I214" s="14">
        <f>(H214/E214)*60</f>
        <v>0</v>
      </c>
      <c r="J214" s="2">
        <v>0</v>
      </c>
      <c r="K214" s="2">
        <v>1</v>
      </c>
      <c r="L214" s="2">
        <v>1</v>
      </c>
      <c r="M214" s="2">
        <v>1</v>
      </c>
      <c r="N214" s="2">
        <v>0.18</v>
      </c>
      <c r="O214" s="2">
        <v>0.18</v>
      </c>
      <c r="P214" s="2">
        <f>(O214/E214)*60</f>
        <v>0.3011152416356877</v>
      </c>
      <c r="Q214" s="2">
        <v>0</v>
      </c>
      <c r="R214" s="2">
        <v>0</v>
      </c>
      <c r="S214" s="2">
        <v>0</v>
      </c>
      <c r="T214" s="2">
        <v>0</v>
      </c>
      <c r="U214" s="2">
        <v>1</v>
      </c>
      <c r="V214" s="12">
        <v>0</v>
      </c>
      <c r="W214" s="2">
        <v>1</v>
      </c>
      <c r="X214" s="2">
        <v>0</v>
      </c>
      <c r="Y214" s="2">
        <v>1</v>
      </c>
      <c r="Z214" s="2">
        <f>Y214-X214</f>
        <v>1</v>
      </c>
      <c r="AA214" s="2">
        <f>(Z214/E214)*60</f>
        <v>1.6728624535315986</v>
      </c>
      <c r="AB214" s="2">
        <v>3</v>
      </c>
      <c r="AC214" s="2">
        <f>(AB214/E214)*60</f>
        <v>5.0185873605947959</v>
      </c>
      <c r="AD214" s="2">
        <v>11</v>
      </c>
      <c r="AE214" s="2">
        <f>(AD214/E214)*60</f>
        <v>18.401486988847584</v>
      </c>
      <c r="AF214" s="2">
        <v>0.82</v>
      </c>
      <c r="AG214" s="2">
        <v>1.3</v>
      </c>
      <c r="AH214" s="2">
        <f>AF214-AG214</f>
        <v>-0.48000000000000009</v>
      </c>
      <c r="AI214" s="2">
        <v>1</v>
      </c>
      <c r="AJ214" s="2">
        <f>(AI214/E214)*60</f>
        <v>1.6728624535315986</v>
      </c>
      <c r="AK214" s="2">
        <v>0</v>
      </c>
      <c r="AL214" s="2">
        <v>2</v>
      </c>
      <c r="AM214" s="2">
        <f>(AL214/E214)*60</f>
        <v>3.3457249070631971</v>
      </c>
      <c r="AN214" s="2" t="s">
        <v>435</v>
      </c>
      <c r="AO214" s="2">
        <v>31</v>
      </c>
      <c r="AP214" s="2">
        <v>10</v>
      </c>
      <c r="AQ214" s="14">
        <f>(AP214/E214)*60</f>
        <v>16.728624535315987</v>
      </c>
    </row>
    <row r="215" spans="1:43" x14ac:dyDescent="0.35">
      <c r="A215" s="5" t="s">
        <v>397</v>
      </c>
      <c r="B215" s="5" t="s">
        <v>30</v>
      </c>
      <c r="C215" s="2" t="s">
        <v>31</v>
      </c>
      <c r="D215" s="2">
        <v>6</v>
      </c>
      <c r="E215" s="3">
        <v>50</v>
      </c>
      <c r="F215" s="2">
        <v>0</v>
      </c>
      <c r="G215" s="14">
        <f>(F215/E215)*60</f>
        <v>0</v>
      </c>
      <c r="H215" s="2">
        <v>0</v>
      </c>
      <c r="I215" s="14">
        <f>(H215/E215)*60</f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f>(O215/E215)*60</f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12">
        <v>2</v>
      </c>
      <c r="W215" s="2">
        <v>2</v>
      </c>
      <c r="X215" s="2">
        <v>0</v>
      </c>
      <c r="Y215" s="2">
        <v>0</v>
      </c>
      <c r="Z215" s="2">
        <f>Y215-X215</f>
        <v>0</v>
      </c>
      <c r="AA215" s="2">
        <f>(Z215/E215)*60</f>
        <v>0</v>
      </c>
      <c r="AB215" s="2">
        <v>8</v>
      </c>
      <c r="AC215" s="2">
        <f>(AB215/E215)*60</f>
        <v>9.6</v>
      </c>
      <c r="AD215" s="2">
        <v>20</v>
      </c>
      <c r="AE215" s="2">
        <f>(AD215/E215)*60</f>
        <v>24</v>
      </c>
      <c r="AF215" s="2">
        <v>0.73</v>
      </c>
      <c r="AG215" s="2">
        <v>3.11</v>
      </c>
      <c r="AH215" s="2">
        <f>AF215-AG215</f>
        <v>-2.38</v>
      </c>
      <c r="AI215" s="2">
        <v>0</v>
      </c>
      <c r="AJ215" s="2">
        <f>(AI215/E215)*60</f>
        <v>0</v>
      </c>
      <c r="AK215" s="2">
        <v>0</v>
      </c>
      <c r="AL215" s="2">
        <v>0</v>
      </c>
      <c r="AM215" s="2">
        <f>(AL215/E215)*60</f>
        <v>0</v>
      </c>
      <c r="AN215" s="2" t="s">
        <v>398</v>
      </c>
      <c r="AO215" s="2">
        <v>29</v>
      </c>
      <c r="AP215" s="2">
        <v>12</v>
      </c>
      <c r="AQ215" s="14">
        <f>(AP215/E215)*60</f>
        <v>14.399999999999999</v>
      </c>
    </row>
    <row r="216" spans="1:43" x14ac:dyDescent="0.35">
      <c r="A216" s="5" t="s">
        <v>452</v>
      </c>
      <c r="B216" s="5" t="s">
        <v>46</v>
      </c>
      <c r="C216" s="2" t="s">
        <v>39</v>
      </c>
      <c r="D216" s="2">
        <v>6</v>
      </c>
      <c r="E216" s="3">
        <v>51.983333333333334</v>
      </c>
      <c r="F216" s="2">
        <v>0</v>
      </c>
      <c r="G216" s="14">
        <f>(F216/E216)*60</f>
        <v>0</v>
      </c>
      <c r="H216" s="2">
        <v>0</v>
      </c>
      <c r="I216" s="14">
        <f>(H216/E216)*60</f>
        <v>0</v>
      </c>
      <c r="J216" s="2">
        <v>0</v>
      </c>
      <c r="K216" s="2">
        <v>0</v>
      </c>
      <c r="L216" s="2">
        <v>5</v>
      </c>
      <c r="M216" s="2">
        <v>0</v>
      </c>
      <c r="N216" s="2">
        <v>0.05</v>
      </c>
      <c r="O216" s="2">
        <v>0.08</v>
      </c>
      <c r="P216" s="2">
        <f>(O216/E216)*60</f>
        <v>9.2337287592176978E-2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12">
        <v>0</v>
      </c>
      <c r="W216" s="2">
        <v>0</v>
      </c>
      <c r="X216" s="2">
        <v>1</v>
      </c>
      <c r="Y216" s="2">
        <v>0</v>
      </c>
      <c r="Z216" s="2">
        <f>Y216-X216</f>
        <v>-1</v>
      </c>
      <c r="AA216" s="2">
        <f>(Z216/E216)*60</f>
        <v>-1.1542160949022122</v>
      </c>
      <c r="AB216" s="2">
        <v>24</v>
      </c>
      <c r="AC216" s="2">
        <f>(AB216/E216)*60</f>
        <v>27.701186277653093</v>
      </c>
      <c r="AD216" s="2">
        <v>13</v>
      </c>
      <c r="AE216" s="2">
        <f>(AD216/E216)*60</f>
        <v>15.004809233728761</v>
      </c>
      <c r="AF216" s="2">
        <v>1.52</v>
      </c>
      <c r="AG216" s="2">
        <v>1.44</v>
      </c>
      <c r="AH216" s="2">
        <f>AF216-AG216</f>
        <v>8.0000000000000071E-2</v>
      </c>
      <c r="AI216" s="2">
        <v>0</v>
      </c>
      <c r="AJ216" s="2">
        <f>(AI216/E216)*60</f>
        <v>0</v>
      </c>
      <c r="AK216" s="2">
        <v>0</v>
      </c>
      <c r="AL216" s="2">
        <v>0</v>
      </c>
      <c r="AM216" s="2">
        <f>(AL216/E216)*60</f>
        <v>0</v>
      </c>
      <c r="AN216" s="2" t="s">
        <v>453</v>
      </c>
      <c r="AO216" s="2">
        <v>28</v>
      </c>
      <c r="AP216" s="2">
        <v>9</v>
      </c>
      <c r="AQ216" s="14">
        <f>(AP216/E216)*60</f>
        <v>10.38794485411991</v>
      </c>
    </row>
    <row r="217" spans="1:43" x14ac:dyDescent="0.35">
      <c r="A217" s="5" t="s">
        <v>467</v>
      </c>
      <c r="B217" s="5" t="s">
        <v>71</v>
      </c>
      <c r="C217" s="2" t="s">
        <v>31</v>
      </c>
      <c r="D217" s="2">
        <v>6</v>
      </c>
      <c r="E217" s="3">
        <v>27.366666666666667</v>
      </c>
      <c r="F217" s="2">
        <v>0</v>
      </c>
      <c r="G217" s="14">
        <f>(F217/E217)*60</f>
        <v>0</v>
      </c>
      <c r="H217" s="2">
        <v>0</v>
      </c>
      <c r="I217" s="14">
        <f>(H217/E217)*60</f>
        <v>0</v>
      </c>
      <c r="J217" s="2">
        <v>0</v>
      </c>
      <c r="K217" s="2">
        <v>0</v>
      </c>
      <c r="L217" s="2">
        <v>4</v>
      </c>
      <c r="M217" s="2">
        <v>4</v>
      </c>
      <c r="N217" s="2">
        <v>0.14000000000000001</v>
      </c>
      <c r="O217" s="2">
        <v>0.21</v>
      </c>
      <c r="P217" s="2">
        <f>(O217/E217)*60</f>
        <v>0.4604141291108404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12">
        <v>0</v>
      </c>
      <c r="W217" s="2">
        <v>0</v>
      </c>
      <c r="X217" s="2">
        <v>0</v>
      </c>
      <c r="Y217" s="2">
        <v>0</v>
      </c>
      <c r="Z217" s="2">
        <f>Y217-X217</f>
        <v>0</v>
      </c>
      <c r="AA217" s="2">
        <f>(Z217/E217)*60</f>
        <v>0</v>
      </c>
      <c r="AB217" s="2">
        <v>0</v>
      </c>
      <c r="AC217" s="2">
        <f>(AB217/E217)*60</f>
        <v>0</v>
      </c>
      <c r="AD217" s="2">
        <v>1</v>
      </c>
      <c r="AE217" s="2">
        <f>(AD217/E217)*60</f>
        <v>2.1924482338611448</v>
      </c>
      <c r="AF217" s="2">
        <v>0.74</v>
      </c>
      <c r="AG217" s="2">
        <v>1.34</v>
      </c>
      <c r="AH217" s="2">
        <f>AF217-AG217</f>
        <v>-0.60000000000000009</v>
      </c>
      <c r="AI217" s="2">
        <v>0</v>
      </c>
      <c r="AJ217" s="2">
        <f>(AI217/E217)*60</f>
        <v>0</v>
      </c>
      <c r="AK217" s="2">
        <v>0</v>
      </c>
      <c r="AL217" s="2">
        <v>0</v>
      </c>
      <c r="AM217" s="2">
        <f>(AL217/E217)*60</f>
        <v>0</v>
      </c>
      <c r="AN217" s="2" t="s">
        <v>468</v>
      </c>
      <c r="AO217" s="2">
        <v>3</v>
      </c>
      <c r="AP217" s="2">
        <v>2</v>
      </c>
      <c r="AQ217" s="14">
        <f>(AP217/E217)*60</f>
        <v>4.3848964677222897</v>
      </c>
    </row>
    <row r="218" spans="1:43" x14ac:dyDescent="0.35">
      <c r="A218" s="5" t="s">
        <v>429</v>
      </c>
      <c r="B218" s="5" t="s">
        <v>108</v>
      </c>
      <c r="C218" s="2" t="s">
        <v>31</v>
      </c>
      <c r="D218" s="2">
        <v>6</v>
      </c>
      <c r="E218" s="3">
        <v>23.566666666666666</v>
      </c>
      <c r="F218" s="2">
        <v>0</v>
      </c>
      <c r="G218" s="14">
        <f>(F218/E218)*60</f>
        <v>0</v>
      </c>
      <c r="H218" s="2">
        <v>1</v>
      </c>
      <c r="I218" s="14">
        <f>(H218/E218)*60</f>
        <v>2.5459688826025459</v>
      </c>
      <c r="J218" s="2">
        <v>1</v>
      </c>
      <c r="K218" s="2">
        <v>0</v>
      </c>
      <c r="L218" s="2">
        <v>1</v>
      </c>
      <c r="M218" s="2">
        <v>0</v>
      </c>
      <c r="N218" s="2">
        <v>0.01</v>
      </c>
      <c r="O218" s="2">
        <v>0.01</v>
      </c>
      <c r="P218" s="2">
        <f>(O218/E218)*60</f>
        <v>2.5459688826025461E-2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12">
        <v>1</v>
      </c>
      <c r="W218" s="2">
        <v>1</v>
      </c>
      <c r="X218" s="2">
        <v>0</v>
      </c>
      <c r="Y218" s="2">
        <v>0</v>
      </c>
      <c r="Z218" s="2">
        <f>Y218-X218</f>
        <v>0</v>
      </c>
      <c r="AA218" s="2">
        <f>(Z218/E218)*60</f>
        <v>0</v>
      </c>
      <c r="AB218" s="2">
        <v>3</v>
      </c>
      <c r="AC218" s="2">
        <f>(AB218/E218)*60</f>
        <v>7.6379066478076387</v>
      </c>
      <c r="AD218" s="2">
        <v>9</v>
      </c>
      <c r="AE218" s="2">
        <f>(AD218/E218)*60</f>
        <v>22.913719943422915</v>
      </c>
      <c r="AF218" s="2">
        <v>0.26</v>
      </c>
      <c r="AG218" s="2">
        <v>1.9</v>
      </c>
      <c r="AH218" s="2">
        <f>AF218-AG218</f>
        <v>-1.64</v>
      </c>
      <c r="AI218" s="2">
        <v>0</v>
      </c>
      <c r="AJ218" s="2">
        <f>(AI218/E218)*60</f>
        <v>0</v>
      </c>
      <c r="AK218" s="2">
        <v>0</v>
      </c>
      <c r="AL218" s="2">
        <v>0</v>
      </c>
      <c r="AM218" s="2">
        <f>(AL218/E218)*60</f>
        <v>0</v>
      </c>
      <c r="AN218" s="2" t="s">
        <v>430</v>
      </c>
      <c r="AO218" s="2">
        <v>8</v>
      </c>
      <c r="AP218" s="2">
        <v>1</v>
      </c>
      <c r="AQ218" s="14">
        <f>(AP218/E218)*60</f>
        <v>2.5459688826025459</v>
      </c>
    </row>
    <row r="219" spans="1:43" x14ac:dyDescent="0.35">
      <c r="A219" s="5" t="s">
        <v>482</v>
      </c>
      <c r="B219" s="5" t="s">
        <v>78</v>
      </c>
      <c r="C219" s="2" t="s">
        <v>31</v>
      </c>
      <c r="D219" s="2">
        <v>5</v>
      </c>
      <c r="E219" s="3">
        <v>7.8666666666666671</v>
      </c>
      <c r="F219" s="2">
        <v>0</v>
      </c>
      <c r="G219" s="14">
        <f>(F219/E219)*60</f>
        <v>0</v>
      </c>
      <c r="H219" s="2">
        <v>0</v>
      </c>
      <c r="I219" s="14">
        <f>(H219/E219)*60</f>
        <v>0</v>
      </c>
      <c r="J219" s="2">
        <v>0</v>
      </c>
      <c r="K219" s="2">
        <v>0</v>
      </c>
      <c r="L219" s="2">
        <v>1</v>
      </c>
      <c r="M219" s="2">
        <v>0</v>
      </c>
      <c r="N219" s="2">
        <v>0.04</v>
      </c>
      <c r="O219" s="2">
        <v>0.04</v>
      </c>
      <c r="P219" s="2">
        <f>(O219/E219)*60</f>
        <v>0.30508474576271183</v>
      </c>
      <c r="Q219" s="2">
        <v>0</v>
      </c>
      <c r="R219" s="2">
        <v>0</v>
      </c>
      <c r="S219" s="2">
        <v>0</v>
      </c>
      <c r="T219" s="2">
        <v>0</v>
      </c>
      <c r="U219" s="2">
        <v>1</v>
      </c>
      <c r="V219" s="12">
        <v>0</v>
      </c>
      <c r="W219" s="2">
        <v>1</v>
      </c>
      <c r="X219" s="2">
        <v>0</v>
      </c>
      <c r="Y219" s="2">
        <v>0</v>
      </c>
      <c r="Z219" s="2">
        <f>Y219-X219</f>
        <v>0</v>
      </c>
      <c r="AA219" s="2">
        <f>(Z219/E219)*60</f>
        <v>0</v>
      </c>
      <c r="AB219" s="2">
        <v>0</v>
      </c>
      <c r="AC219" s="2">
        <f>(AB219/E219)*60</f>
        <v>0</v>
      </c>
      <c r="AD219" s="2">
        <v>1</v>
      </c>
      <c r="AE219" s="2">
        <f>(AD219/E219)*60</f>
        <v>7.6271186440677958</v>
      </c>
      <c r="AF219" s="2">
        <v>0.35</v>
      </c>
      <c r="AG219" s="2">
        <v>1.1200000000000001</v>
      </c>
      <c r="AH219" s="2">
        <f>AF219-AG219</f>
        <v>-0.77000000000000013</v>
      </c>
      <c r="AI219" s="2">
        <v>0</v>
      </c>
      <c r="AJ219" s="2">
        <f>(AI219/E219)*60</f>
        <v>0</v>
      </c>
      <c r="AK219" s="2">
        <v>0</v>
      </c>
      <c r="AL219" s="2">
        <v>0</v>
      </c>
      <c r="AM219" s="2">
        <f>(AL219/E219)*60</f>
        <v>0</v>
      </c>
      <c r="AN219" s="2" t="s">
        <v>412</v>
      </c>
      <c r="AO219" s="2">
        <v>7</v>
      </c>
      <c r="AP219" s="2">
        <v>2</v>
      </c>
      <c r="AQ219" s="14">
        <f>(AP219/E219)*60</f>
        <v>15.254237288135592</v>
      </c>
    </row>
    <row r="220" spans="1:43" x14ac:dyDescent="0.35">
      <c r="A220" s="5" t="s">
        <v>444</v>
      </c>
      <c r="B220" s="5" t="s">
        <v>105</v>
      </c>
      <c r="C220" s="2" t="s">
        <v>31</v>
      </c>
      <c r="D220" s="2">
        <v>5</v>
      </c>
      <c r="E220" s="3">
        <v>38.85</v>
      </c>
      <c r="F220" s="2">
        <v>0</v>
      </c>
      <c r="G220" s="14">
        <f>(F220/E220)*60</f>
        <v>0</v>
      </c>
      <c r="H220" s="2">
        <v>0</v>
      </c>
      <c r="I220" s="14">
        <f>(H220/E220)*60</f>
        <v>0</v>
      </c>
      <c r="J220" s="2">
        <v>0</v>
      </c>
      <c r="K220" s="2">
        <v>0</v>
      </c>
      <c r="L220" s="2">
        <v>9</v>
      </c>
      <c r="M220" s="2">
        <v>5</v>
      </c>
      <c r="N220" s="2">
        <v>0.17</v>
      </c>
      <c r="O220" s="2">
        <v>0.31</v>
      </c>
      <c r="P220" s="2">
        <f>(O220/E220)*60</f>
        <v>0.47876447876447875</v>
      </c>
      <c r="Q220" s="2">
        <v>0</v>
      </c>
      <c r="R220" s="2">
        <v>0</v>
      </c>
      <c r="S220" s="2">
        <v>0</v>
      </c>
      <c r="T220" s="2">
        <v>0</v>
      </c>
      <c r="U220" s="2">
        <v>2</v>
      </c>
      <c r="V220" s="12">
        <v>0</v>
      </c>
      <c r="W220" s="2">
        <v>2</v>
      </c>
      <c r="X220" s="2">
        <v>1</v>
      </c>
      <c r="Y220" s="2">
        <v>2</v>
      </c>
      <c r="Z220" s="2">
        <f>Y220-X220</f>
        <v>1</v>
      </c>
      <c r="AA220" s="2">
        <f>(Z220/E220)*60</f>
        <v>1.5444015444015442</v>
      </c>
      <c r="AB220" s="2">
        <v>3</v>
      </c>
      <c r="AC220" s="2">
        <f>(AB220/E220)*60</f>
        <v>4.6332046332046328</v>
      </c>
      <c r="AD220" s="2">
        <v>1</v>
      </c>
      <c r="AE220" s="2">
        <f>(AD220/E220)*60</f>
        <v>1.5444015444015442</v>
      </c>
      <c r="AF220" s="2">
        <v>0.6</v>
      </c>
      <c r="AG220" s="2">
        <v>1.39</v>
      </c>
      <c r="AH220" s="2">
        <f>AF220-AG220</f>
        <v>-0.78999999999999992</v>
      </c>
      <c r="AI220" s="2">
        <v>0</v>
      </c>
      <c r="AJ220" s="2">
        <f>(AI220/E220)*60</f>
        <v>0</v>
      </c>
      <c r="AK220" s="2">
        <v>0</v>
      </c>
      <c r="AL220" s="2">
        <v>0</v>
      </c>
      <c r="AM220" s="2">
        <f>(AL220/E220)*60</f>
        <v>0</v>
      </c>
      <c r="AN220" s="2" t="s">
        <v>445</v>
      </c>
      <c r="AO220" s="2">
        <v>10</v>
      </c>
      <c r="AP220" s="2">
        <v>4</v>
      </c>
      <c r="AQ220" s="14">
        <f>(AP220/E220)*60</f>
        <v>6.1776061776061768</v>
      </c>
    </row>
    <row r="221" spans="1:43" x14ac:dyDescent="0.35">
      <c r="A221" s="5" t="s">
        <v>462</v>
      </c>
      <c r="B221" s="5" t="s">
        <v>60</v>
      </c>
      <c r="C221" s="2" t="s">
        <v>39</v>
      </c>
      <c r="D221" s="2">
        <v>4</v>
      </c>
      <c r="E221" s="3">
        <v>33.666666666666664</v>
      </c>
      <c r="F221" s="2">
        <v>0</v>
      </c>
      <c r="G221" s="14">
        <f>(F221/E221)*60</f>
        <v>0</v>
      </c>
      <c r="H221" s="2">
        <v>0</v>
      </c>
      <c r="I221" s="14">
        <f>(H221/E221)*60</f>
        <v>0</v>
      </c>
      <c r="J221" s="2">
        <v>0</v>
      </c>
      <c r="K221" s="2">
        <v>0</v>
      </c>
      <c r="L221" s="2">
        <v>1</v>
      </c>
      <c r="M221" s="2">
        <v>0</v>
      </c>
      <c r="N221" s="2">
        <v>0.01</v>
      </c>
      <c r="O221" s="2">
        <v>0.01</v>
      </c>
      <c r="P221" s="2">
        <f>(O221/E221)*60</f>
        <v>1.7821782178217824E-2</v>
      </c>
      <c r="Q221" s="2">
        <v>0</v>
      </c>
      <c r="R221" s="2">
        <v>0</v>
      </c>
      <c r="S221" s="2">
        <v>0</v>
      </c>
      <c r="T221" s="2">
        <v>0</v>
      </c>
      <c r="U221" s="2">
        <v>2</v>
      </c>
      <c r="V221" s="12">
        <v>0</v>
      </c>
      <c r="W221" s="2">
        <v>2</v>
      </c>
      <c r="X221" s="2">
        <v>0</v>
      </c>
      <c r="Y221" s="2">
        <v>0</v>
      </c>
      <c r="Z221" s="2">
        <f>Y221-X221</f>
        <v>0</v>
      </c>
      <c r="AA221" s="2">
        <f>(Z221/E221)*60</f>
        <v>0</v>
      </c>
      <c r="AB221" s="2">
        <v>12</v>
      </c>
      <c r="AC221" s="2">
        <f>(AB221/E221)*60</f>
        <v>21.386138613861387</v>
      </c>
      <c r="AD221" s="2">
        <v>6</v>
      </c>
      <c r="AE221" s="2">
        <f>(AD221/E221)*60</f>
        <v>10.693069306930694</v>
      </c>
      <c r="AF221" s="2">
        <v>0.72</v>
      </c>
      <c r="AG221" s="2">
        <v>2.72</v>
      </c>
      <c r="AH221" s="2">
        <f>AF221-AG221</f>
        <v>-2</v>
      </c>
      <c r="AI221" s="2">
        <v>0</v>
      </c>
      <c r="AJ221" s="2">
        <f>(AI221/E221)*60</f>
        <v>0</v>
      </c>
      <c r="AK221" s="2">
        <v>1</v>
      </c>
      <c r="AL221" s="2">
        <v>0</v>
      </c>
      <c r="AM221" s="2">
        <f>(AL221/E221)*60</f>
        <v>0</v>
      </c>
      <c r="AN221" s="2" t="s">
        <v>463</v>
      </c>
      <c r="AO221" s="2">
        <v>26</v>
      </c>
      <c r="AP221" s="2">
        <v>13</v>
      </c>
      <c r="AQ221" s="14">
        <f>(AP221/E221)*60</f>
        <v>23.168316831683168</v>
      </c>
    </row>
    <row r="222" spans="1:43" x14ac:dyDescent="0.35">
      <c r="A222" s="5" t="s">
        <v>464</v>
      </c>
      <c r="B222" s="5" t="s">
        <v>30</v>
      </c>
      <c r="C222" s="2" t="s">
        <v>39</v>
      </c>
      <c r="D222" s="2">
        <v>4</v>
      </c>
      <c r="E222" s="3">
        <v>15.666666666666666</v>
      </c>
      <c r="F222" s="2">
        <v>0</v>
      </c>
      <c r="G222" s="14">
        <f>(F222/E222)*60</f>
        <v>0</v>
      </c>
      <c r="H222" s="2">
        <v>0</v>
      </c>
      <c r="I222" s="14">
        <f>(H222/E222)*60</f>
        <v>0</v>
      </c>
      <c r="J222" s="2">
        <v>0</v>
      </c>
      <c r="K222" s="2">
        <v>0</v>
      </c>
      <c r="L222" s="2">
        <v>1</v>
      </c>
      <c r="M222" s="2">
        <v>0</v>
      </c>
      <c r="N222" s="2">
        <v>0.01</v>
      </c>
      <c r="O222" s="2">
        <v>0.01</v>
      </c>
      <c r="P222" s="2">
        <f>(O222/E222)*60</f>
        <v>3.8297872340425539E-2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12">
        <v>0</v>
      </c>
      <c r="W222" s="2">
        <v>0</v>
      </c>
      <c r="X222" s="2">
        <v>0</v>
      </c>
      <c r="Y222" s="2">
        <v>0</v>
      </c>
      <c r="Z222" s="2">
        <f>Y222-X222</f>
        <v>0</v>
      </c>
      <c r="AA222" s="2">
        <f>(Z222/E222)*60</f>
        <v>0</v>
      </c>
      <c r="AB222" s="2">
        <v>5</v>
      </c>
      <c r="AC222" s="2">
        <f>(AB222/E222)*60</f>
        <v>19.148936170212767</v>
      </c>
      <c r="AD222" s="2">
        <v>4</v>
      </c>
      <c r="AE222" s="2">
        <f>(AD222/E222)*60</f>
        <v>15.319148936170215</v>
      </c>
      <c r="AF222" s="2">
        <v>0.33</v>
      </c>
      <c r="AG222" s="2">
        <v>1.24</v>
      </c>
      <c r="AH222" s="2">
        <f>AF222-AG222</f>
        <v>-0.90999999999999992</v>
      </c>
      <c r="AI222" s="2">
        <v>0</v>
      </c>
      <c r="AJ222" s="2">
        <f>(AI222/E222)*60</f>
        <v>0</v>
      </c>
      <c r="AK222" s="2">
        <v>0</v>
      </c>
      <c r="AL222" s="2">
        <v>0</v>
      </c>
      <c r="AM222" s="2">
        <f>(AL222/E222)*60</f>
        <v>0</v>
      </c>
      <c r="AN222" s="2" t="s">
        <v>465</v>
      </c>
      <c r="AO222" s="2">
        <v>13</v>
      </c>
      <c r="AP222" s="2">
        <v>4</v>
      </c>
      <c r="AQ222" s="14">
        <f>(AP222/E222)*60</f>
        <v>15.319148936170215</v>
      </c>
    </row>
    <row r="223" spans="1:43" x14ac:dyDescent="0.35">
      <c r="A223" s="5" t="s">
        <v>409</v>
      </c>
      <c r="B223" s="5" t="s">
        <v>46</v>
      </c>
      <c r="C223" s="2" t="s">
        <v>31</v>
      </c>
      <c r="D223" s="2">
        <v>4</v>
      </c>
      <c r="E223" s="3">
        <v>27.716666666666665</v>
      </c>
      <c r="F223" s="2">
        <v>0</v>
      </c>
      <c r="G223" s="14">
        <f>(F223/E223)*60</f>
        <v>0</v>
      </c>
      <c r="H223" s="2">
        <v>0</v>
      </c>
      <c r="I223" s="14">
        <f>(H223/E223)*60</f>
        <v>0</v>
      </c>
      <c r="J223" s="2">
        <v>0</v>
      </c>
      <c r="K223" s="2">
        <v>0</v>
      </c>
      <c r="L223" s="2">
        <v>2</v>
      </c>
      <c r="M223" s="2">
        <v>1</v>
      </c>
      <c r="N223" s="2">
        <v>0.02</v>
      </c>
      <c r="O223" s="2">
        <v>0.02</v>
      </c>
      <c r="P223" s="2">
        <f>(O223/E223)*60</f>
        <v>4.3295249549007826E-2</v>
      </c>
      <c r="Q223" s="2">
        <v>0</v>
      </c>
      <c r="R223" s="2">
        <v>0</v>
      </c>
      <c r="S223" s="2">
        <v>0</v>
      </c>
      <c r="T223" s="2">
        <v>0</v>
      </c>
      <c r="U223" s="2">
        <v>1</v>
      </c>
      <c r="V223" s="12">
        <v>1</v>
      </c>
      <c r="W223" s="2">
        <v>0</v>
      </c>
      <c r="X223" s="2">
        <v>0</v>
      </c>
      <c r="Y223" s="2">
        <v>0</v>
      </c>
      <c r="Z223" s="2">
        <f>Y223-X223</f>
        <v>0</v>
      </c>
      <c r="AA223" s="2">
        <f>(Z223/E223)*60</f>
        <v>0</v>
      </c>
      <c r="AB223" s="2">
        <v>3</v>
      </c>
      <c r="AC223" s="2">
        <f>(AB223/E223)*60</f>
        <v>6.4942874323511726</v>
      </c>
      <c r="AD223" s="2">
        <v>5</v>
      </c>
      <c r="AE223" s="2">
        <f>(AD223/E223)*60</f>
        <v>10.823812387251955</v>
      </c>
      <c r="AF223" s="2">
        <v>0.49</v>
      </c>
      <c r="AG223" s="2">
        <v>0.86</v>
      </c>
      <c r="AH223" s="2">
        <f>AF223-AG223</f>
        <v>-0.37</v>
      </c>
      <c r="AI223" s="2">
        <v>0</v>
      </c>
      <c r="AJ223" s="2">
        <f>(AI223/E223)*60</f>
        <v>0</v>
      </c>
      <c r="AK223" s="2">
        <v>0</v>
      </c>
      <c r="AL223" s="2">
        <v>0</v>
      </c>
      <c r="AM223" s="2">
        <f>(AL223/E223)*60</f>
        <v>0</v>
      </c>
      <c r="AN223" s="2" t="s">
        <v>410</v>
      </c>
      <c r="AO223" s="2">
        <v>10</v>
      </c>
      <c r="AP223" s="2">
        <v>7</v>
      </c>
      <c r="AQ223" s="14">
        <f>(AP223/E223)*60</f>
        <v>15.153337342152739</v>
      </c>
    </row>
    <row r="224" spans="1:43" x14ac:dyDescent="0.35">
      <c r="A224" s="5" t="s">
        <v>474</v>
      </c>
      <c r="B224" s="5" t="s">
        <v>60</v>
      </c>
      <c r="C224" s="2" t="s">
        <v>39</v>
      </c>
      <c r="D224" s="2">
        <v>4</v>
      </c>
      <c r="E224" s="3">
        <v>12.216666666666667</v>
      </c>
      <c r="F224" s="2">
        <v>0</v>
      </c>
      <c r="G224" s="14">
        <f>(F224/E224)*60</f>
        <v>0</v>
      </c>
      <c r="H224" s="2">
        <v>0</v>
      </c>
      <c r="I224" s="14">
        <f>(H224/E224)*60</f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f>(O224/E224)*60</f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12">
        <v>0</v>
      </c>
      <c r="W224" s="2">
        <v>0</v>
      </c>
      <c r="X224" s="2">
        <v>0</v>
      </c>
      <c r="Y224" s="2">
        <v>0</v>
      </c>
      <c r="Z224" s="2">
        <f>Y224-X224</f>
        <v>0</v>
      </c>
      <c r="AA224" s="2">
        <f>(Z224/E224)*60</f>
        <v>0</v>
      </c>
      <c r="AB224" s="2">
        <v>1</v>
      </c>
      <c r="AC224" s="2">
        <f>(AB224/E224)*60</f>
        <v>4.9113233287858113</v>
      </c>
      <c r="AD224" s="2">
        <v>3</v>
      </c>
      <c r="AE224" s="2">
        <f>(AD224/E224)*60</f>
        <v>14.733969986357435</v>
      </c>
      <c r="AF224" s="2">
        <v>0.03</v>
      </c>
      <c r="AG224" s="2">
        <v>1.17</v>
      </c>
      <c r="AH224" s="2">
        <f>AF224-AG224</f>
        <v>-1.1399999999999999</v>
      </c>
      <c r="AI224" s="2">
        <v>0</v>
      </c>
      <c r="AJ224" s="2">
        <f>(AI224/E224)*60</f>
        <v>0</v>
      </c>
      <c r="AK224" s="2">
        <v>0</v>
      </c>
      <c r="AL224" s="2">
        <v>0</v>
      </c>
      <c r="AM224" s="2">
        <f>(AL224/E224)*60</f>
        <v>0</v>
      </c>
      <c r="AN224" s="2" t="s">
        <v>428</v>
      </c>
      <c r="AO224" s="2">
        <v>11</v>
      </c>
      <c r="AP224" s="2">
        <v>1</v>
      </c>
      <c r="AQ224" s="14">
        <f>(AP224/E224)*60</f>
        <v>4.9113233287858113</v>
      </c>
    </row>
    <row r="225" spans="1:43" x14ac:dyDescent="0.35">
      <c r="A225" s="5" t="s">
        <v>484</v>
      </c>
      <c r="B225" s="5" t="s">
        <v>53</v>
      </c>
      <c r="C225" s="2" t="s">
        <v>39</v>
      </c>
      <c r="D225" s="2">
        <v>4</v>
      </c>
      <c r="E225" s="3">
        <v>10.166666666666666</v>
      </c>
      <c r="F225" s="2">
        <v>0</v>
      </c>
      <c r="G225" s="14">
        <f>(F225/E225)*60</f>
        <v>0</v>
      </c>
      <c r="H225" s="2">
        <v>0</v>
      </c>
      <c r="I225" s="14">
        <f>(H225/E225)*60</f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f>(O225/E225)*60</f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12">
        <v>0</v>
      </c>
      <c r="W225" s="2">
        <v>0</v>
      </c>
      <c r="X225" s="2">
        <v>0</v>
      </c>
      <c r="Y225" s="2">
        <v>0</v>
      </c>
      <c r="Z225" s="2">
        <f>Y225-X225</f>
        <v>0</v>
      </c>
      <c r="AA225" s="2">
        <f>(Z225/E225)*60</f>
        <v>0</v>
      </c>
      <c r="AB225" s="2">
        <v>9</v>
      </c>
      <c r="AC225" s="2">
        <f>(AB225/E225)*60</f>
        <v>53.114754098360663</v>
      </c>
      <c r="AD225" s="2">
        <v>4</v>
      </c>
      <c r="AE225" s="2">
        <f>(AD225/E225)*60</f>
        <v>23.606557377049182</v>
      </c>
      <c r="AF225" s="2">
        <v>0.22</v>
      </c>
      <c r="AG225" s="2">
        <v>0.21</v>
      </c>
      <c r="AH225" s="2">
        <f>AF225-AG225</f>
        <v>1.0000000000000009E-2</v>
      </c>
      <c r="AI225" s="2">
        <v>0</v>
      </c>
      <c r="AJ225" s="2">
        <f>(AI225/E225)*60</f>
        <v>0</v>
      </c>
      <c r="AK225" s="2">
        <v>1</v>
      </c>
      <c r="AL225" s="2">
        <v>0</v>
      </c>
      <c r="AM225" s="2">
        <f>(AL225/E225)*60</f>
        <v>0</v>
      </c>
      <c r="AN225" s="2" t="s">
        <v>437</v>
      </c>
      <c r="AO225" s="2">
        <v>2</v>
      </c>
      <c r="AP225" s="2">
        <v>0</v>
      </c>
      <c r="AQ225" s="14">
        <f>(AP225/E225)*60</f>
        <v>0</v>
      </c>
    </row>
    <row r="226" spans="1:43" x14ac:dyDescent="0.35">
      <c r="A226" s="5" t="s">
        <v>418</v>
      </c>
      <c r="B226" s="5" t="s">
        <v>105</v>
      </c>
      <c r="C226" s="2" t="s">
        <v>39</v>
      </c>
      <c r="D226" s="2">
        <v>4</v>
      </c>
      <c r="E226" s="3">
        <v>50.4</v>
      </c>
      <c r="F226" s="2">
        <v>0</v>
      </c>
      <c r="G226" s="14">
        <f>(F226/E226)*60</f>
        <v>0</v>
      </c>
      <c r="H226" s="2">
        <v>0</v>
      </c>
      <c r="I226" s="14">
        <f>(H226/E226)*60</f>
        <v>0</v>
      </c>
      <c r="J226" s="2">
        <v>0</v>
      </c>
      <c r="K226" s="2">
        <v>0</v>
      </c>
      <c r="L226" s="2">
        <v>1</v>
      </c>
      <c r="M226" s="2">
        <v>1</v>
      </c>
      <c r="N226" s="2">
        <v>0.01</v>
      </c>
      <c r="O226" s="2">
        <v>0.01</v>
      </c>
      <c r="P226" s="2">
        <f>(O226/E226)*60</f>
        <v>1.1904761904761904E-2</v>
      </c>
      <c r="Q226" s="2">
        <v>0</v>
      </c>
      <c r="R226" s="2">
        <v>0</v>
      </c>
      <c r="S226" s="2">
        <v>0</v>
      </c>
      <c r="T226" s="2">
        <v>0</v>
      </c>
      <c r="U226" s="2">
        <v>2</v>
      </c>
      <c r="V226" s="12">
        <v>1</v>
      </c>
      <c r="W226" s="2">
        <v>3</v>
      </c>
      <c r="X226" s="2">
        <v>0</v>
      </c>
      <c r="Y226" s="2">
        <v>0</v>
      </c>
      <c r="Z226" s="2">
        <f>Y226-X226</f>
        <v>0</v>
      </c>
      <c r="AA226" s="2">
        <f>(Z226/E226)*60</f>
        <v>0</v>
      </c>
      <c r="AB226" s="2">
        <v>0</v>
      </c>
      <c r="AC226" s="2">
        <f>(AB226/E226)*60</f>
        <v>0</v>
      </c>
      <c r="AD226" s="2">
        <v>0</v>
      </c>
      <c r="AE226" s="2">
        <f>(AD226/E226)*60</f>
        <v>0</v>
      </c>
      <c r="AF226" s="2">
        <v>1.36</v>
      </c>
      <c r="AG226" s="2">
        <v>3.55</v>
      </c>
      <c r="AH226" s="2">
        <f>AF226-AG226</f>
        <v>-2.1899999999999995</v>
      </c>
      <c r="AI226" s="2">
        <v>0</v>
      </c>
      <c r="AJ226" s="2">
        <f>(AI226/E226)*60</f>
        <v>0</v>
      </c>
      <c r="AK226" s="2">
        <v>0</v>
      </c>
      <c r="AL226" s="2">
        <v>0</v>
      </c>
      <c r="AM226" s="2">
        <f>(AL226/E226)*60</f>
        <v>0</v>
      </c>
      <c r="AN226" s="2">
        <v>0</v>
      </c>
      <c r="AO226" s="2">
        <v>0</v>
      </c>
      <c r="AP226" s="2">
        <v>0</v>
      </c>
      <c r="AQ226" s="14">
        <f>(AP226/E226)*60</f>
        <v>0</v>
      </c>
    </row>
    <row r="227" spans="1:43" x14ac:dyDescent="0.35">
      <c r="A227" s="5" t="s">
        <v>431</v>
      </c>
      <c r="B227" s="5" t="s">
        <v>30</v>
      </c>
      <c r="C227" s="2" t="s">
        <v>31</v>
      </c>
      <c r="D227" s="2">
        <v>4</v>
      </c>
      <c r="E227" s="3">
        <v>28.75</v>
      </c>
      <c r="F227" s="2">
        <v>0</v>
      </c>
      <c r="G227" s="14">
        <f>(F227/E227)*60</f>
        <v>0</v>
      </c>
      <c r="H227" s="2">
        <v>0</v>
      </c>
      <c r="I227" s="14">
        <f>(H227/E227)*60</f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f>(O227/E227)*60</f>
        <v>0</v>
      </c>
      <c r="Q227" s="2">
        <v>0</v>
      </c>
      <c r="R227" s="2">
        <v>0</v>
      </c>
      <c r="S227" s="2">
        <v>0</v>
      </c>
      <c r="T227" s="2">
        <v>0</v>
      </c>
      <c r="U227" s="2">
        <v>1</v>
      </c>
      <c r="V227" s="12">
        <v>1</v>
      </c>
      <c r="W227" s="2">
        <v>0</v>
      </c>
      <c r="X227" s="2">
        <v>0</v>
      </c>
      <c r="Y227" s="2">
        <v>0</v>
      </c>
      <c r="Z227" s="2">
        <f>Y227-X227</f>
        <v>0</v>
      </c>
      <c r="AA227" s="2">
        <f>(Z227/E227)*60</f>
        <v>0</v>
      </c>
      <c r="AB227" s="2">
        <v>0</v>
      </c>
      <c r="AC227" s="2">
        <f>(AB227/E227)*60</f>
        <v>0</v>
      </c>
      <c r="AD227" s="2">
        <v>0</v>
      </c>
      <c r="AE227" s="2">
        <f>(AD227/E227)*60</f>
        <v>0</v>
      </c>
      <c r="AF227" s="2">
        <v>0.51</v>
      </c>
      <c r="AG227" s="2">
        <v>0.54</v>
      </c>
      <c r="AH227" s="2">
        <f>AF227-AG227</f>
        <v>-3.0000000000000027E-2</v>
      </c>
      <c r="AI227" s="2">
        <v>0</v>
      </c>
      <c r="AJ227" s="2">
        <f>(AI227/E227)*60</f>
        <v>0</v>
      </c>
      <c r="AK227" s="2">
        <v>0</v>
      </c>
      <c r="AL227" s="2">
        <v>0</v>
      </c>
      <c r="AM227" s="2">
        <f>(AL227/E227)*60</f>
        <v>0</v>
      </c>
      <c r="AN227" s="2">
        <v>0</v>
      </c>
      <c r="AO227" s="2">
        <v>0</v>
      </c>
      <c r="AP227" s="2">
        <v>0</v>
      </c>
      <c r="AQ227" s="14">
        <f>(AP227/E227)*60</f>
        <v>0</v>
      </c>
    </row>
    <row r="228" spans="1:43" x14ac:dyDescent="0.35">
      <c r="A228" s="5" t="s">
        <v>485</v>
      </c>
      <c r="B228" s="5" t="s">
        <v>30</v>
      </c>
      <c r="C228" s="2" t="s">
        <v>31</v>
      </c>
      <c r="D228" s="2">
        <v>3</v>
      </c>
      <c r="E228" s="3">
        <v>7.8666666666666671</v>
      </c>
      <c r="F228" s="2">
        <v>0</v>
      </c>
      <c r="G228" s="14">
        <f>(F228/E228)*60</f>
        <v>0</v>
      </c>
      <c r="H228" s="2">
        <v>0</v>
      </c>
      <c r="I228" s="14">
        <f>(H228/E228)*60</f>
        <v>0</v>
      </c>
      <c r="J228" s="2">
        <v>0</v>
      </c>
      <c r="K228" s="2">
        <v>1</v>
      </c>
      <c r="L228" s="2">
        <v>2</v>
      </c>
      <c r="M228" s="2">
        <v>1</v>
      </c>
      <c r="N228" s="2">
        <v>0.11</v>
      </c>
      <c r="O228" s="2">
        <v>0.22</v>
      </c>
      <c r="P228" s="2">
        <f>(O228/E228)*60</f>
        <v>1.6779661016949152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12">
        <v>0</v>
      </c>
      <c r="W228" s="2">
        <v>0</v>
      </c>
      <c r="X228" s="2">
        <v>0</v>
      </c>
      <c r="Y228" s="2">
        <v>0</v>
      </c>
      <c r="Z228" s="2">
        <f>Y228-X228</f>
        <v>0</v>
      </c>
      <c r="AA228" s="2">
        <f>(Z228/E228)*60</f>
        <v>0</v>
      </c>
      <c r="AB228" s="2">
        <v>2</v>
      </c>
      <c r="AC228" s="2">
        <f>(AB228/E228)*60</f>
        <v>15.254237288135592</v>
      </c>
      <c r="AD228" s="2">
        <v>1</v>
      </c>
      <c r="AE228" s="2">
        <f>(AD228/E228)*60</f>
        <v>7.6271186440677958</v>
      </c>
      <c r="AF228" s="2">
        <v>1.01</v>
      </c>
      <c r="AG228" s="2">
        <v>0.79</v>
      </c>
      <c r="AH228" s="2">
        <f>AF228-AG228</f>
        <v>0.21999999999999997</v>
      </c>
      <c r="AI228" s="2">
        <v>1</v>
      </c>
      <c r="AJ228" s="2">
        <f>(AI228/E228)*60</f>
        <v>7.6271186440677958</v>
      </c>
      <c r="AK228" s="2">
        <v>0</v>
      </c>
      <c r="AL228" s="2">
        <v>0</v>
      </c>
      <c r="AM228" s="2">
        <f>(AL228/E228)*60</f>
        <v>0</v>
      </c>
      <c r="AN228" s="2" t="s">
        <v>445</v>
      </c>
      <c r="AO228" s="2">
        <v>8</v>
      </c>
      <c r="AP228" s="2">
        <v>4</v>
      </c>
      <c r="AQ228" s="14">
        <f>(AP228/E228)*60</f>
        <v>30.508474576271183</v>
      </c>
    </row>
    <row r="229" spans="1:43" x14ac:dyDescent="0.35">
      <c r="A229" s="5" t="s">
        <v>478</v>
      </c>
      <c r="B229" s="5" t="s">
        <v>30</v>
      </c>
      <c r="C229" s="2" t="s">
        <v>39</v>
      </c>
      <c r="D229" s="2">
        <v>3</v>
      </c>
      <c r="E229" s="3">
        <v>12.033333333333333</v>
      </c>
      <c r="F229" s="2">
        <v>0</v>
      </c>
      <c r="G229" s="14">
        <f>(F229/E229)*60</f>
        <v>0</v>
      </c>
      <c r="H229" s="2">
        <v>0</v>
      </c>
      <c r="I229" s="14">
        <f>(H229/E229)*60</f>
        <v>0</v>
      </c>
      <c r="J229" s="2">
        <v>0</v>
      </c>
      <c r="K229" s="2">
        <v>0</v>
      </c>
      <c r="L229" s="2">
        <v>3</v>
      </c>
      <c r="M229" s="2">
        <v>1</v>
      </c>
      <c r="N229" s="2">
        <v>0.03</v>
      </c>
      <c r="O229" s="2">
        <v>0.04</v>
      </c>
      <c r="P229" s="2">
        <f>(O229/E229)*60</f>
        <v>0.1994459833795014</v>
      </c>
      <c r="Q229" s="2">
        <v>0</v>
      </c>
      <c r="R229" s="2">
        <v>0</v>
      </c>
      <c r="S229" s="2">
        <v>0</v>
      </c>
      <c r="T229" s="2">
        <v>0</v>
      </c>
      <c r="U229" s="2">
        <v>1</v>
      </c>
      <c r="V229" s="12">
        <v>0</v>
      </c>
      <c r="W229" s="2">
        <v>1</v>
      </c>
      <c r="X229" s="2">
        <v>0</v>
      </c>
      <c r="Y229" s="2">
        <v>0</v>
      </c>
      <c r="Z229" s="2">
        <f>Y229-X229</f>
        <v>0</v>
      </c>
      <c r="AA229" s="2">
        <f>(Z229/E229)*60</f>
        <v>0</v>
      </c>
      <c r="AB229" s="2">
        <v>0</v>
      </c>
      <c r="AC229" s="2">
        <f>(AB229/E229)*60</f>
        <v>0</v>
      </c>
      <c r="AD229" s="2">
        <v>2</v>
      </c>
      <c r="AE229" s="2">
        <f>(AD229/E229)*60</f>
        <v>9.9722991689750682</v>
      </c>
      <c r="AF229" s="2">
        <v>0.44</v>
      </c>
      <c r="AG229" s="2">
        <v>0.94</v>
      </c>
      <c r="AH229" s="2">
        <f>AF229-AG229</f>
        <v>-0.49999999999999994</v>
      </c>
      <c r="AI229" s="2">
        <v>0</v>
      </c>
      <c r="AJ229" s="2">
        <f>(AI229/E229)*60</f>
        <v>0</v>
      </c>
      <c r="AK229" s="2">
        <v>0</v>
      </c>
      <c r="AL229" s="2">
        <v>0</v>
      </c>
      <c r="AM229" s="2">
        <f>(AL229/E229)*60</f>
        <v>0</v>
      </c>
      <c r="AN229" s="2" t="s">
        <v>439</v>
      </c>
      <c r="AO229" s="2">
        <v>12</v>
      </c>
      <c r="AP229" s="2">
        <v>5</v>
      </c>
      <c r="AQ229" s="14">
        <f>(AP229/E229)*60</f>
        <v>24.930747922437675</v>
      </c>
    </row>
    <row r="230" spans="1:43" x14ac:dyDescent="0.35">
      <c r="A230" s="5" t="s">
        <v>449</v>
      </c>
      <c r="B230" s="5" t="s">
        <v>108</v>
      </c>
      <c r="C230" s="2" t="s">
        <v>31</v>
      </c>
      <c r="D230" s="2">
        <v>3</v>
      </c>
      <c r="E230" s="3">
        <v>34.083333333333336</v>
      </c>
      <c r="F230" s="2">
        <v>0</v>
      </c>
      <c r="G230" s="14">
        <f>(F230/E230)*60</f>
        <v>0</v>
      </c>
      <c r="H230" s="2">
        <v>0</v>
      </c>
      <c r="I230" s="14">
        <f>(H230/E230)*60</f>
        <v>0</v>
      </c>
      <c r="J230" s="2">
        <v>0</v>
      </c>
      <c r="K230" s="2">
        <v>0</v>
      </c>
      <c r="L230" s="2">
        <v>3</v>
      </c>
      <c r="M230" s="2">
        <v>2</v>
      </c>
      <c r="N230" s="2">
        <v>0.03</v>
      </c>
      <c r="O230" s="2">
        <v>0.06</v>
      </c>
      <c r="P230" s="2">
        <f>(O230/E230)*60</f>
        <v>0.10562347188264058</v>
      </c>
      <c r="Q230" s="2">
        <v>0</v>
      </c>
      <c r="R230" s="2">
        <v>0</v>
      </c>
      <c r="S230" s="2">
        <v>0</v>
      </c>
      <c r="T230" s="2">
        <v>0</v>
      </c>
      <c r="U230" s="2">
        <v>1</v>
      </c>
      <c r="V230" s="12">
        <v>0</v>
      </c>
      <c r="W230" s="2">
        <v>1</v>
      </c>
      <c r="X230" s="2">
        <v>1</v>
      </c>
      <c r="Y230" s="2">
        <v>0</v>
      </c>
      <c r="Z230" s="2">
        <f>Y230-X230</f>
        <v>-1</v>
      </c>
      <c r="AA230" s="2">
        <f>(Z230/E230)*60</f>
        <v>-1.7603911980440095</v>
      </c>
      <c r="AB230" s="2">
        <v>1</v>
      </c>
      <c r="AC230" s="2">
        <f>(AB230/E230)*60</f>
        <v>1.7603911980440095</v>
      </c>
      <c r="AD230" s="2">
        <v>22</v>
      </c>
      <c r="AE230" s="2">
        <f>(AD230/E230)*60</f>
        <v>38.728606356968214</v>
      </c>
      <c r="AF230" s="2">
        <v>0.85</v>
      </c>
      <c r="AG230" s="2">
        <v>1.36</v>
      </c>
      <c r="AH230" s="2">
        <f>AF230-AG230</f>
        <v>-0.51000000000000012</v>
      </c>
      <c r="AI230" s="2">
        <v>0</v>
      </c>
      <c r="AJ230" s="2">
        <f>(AI230/E230)*60</f>
        <v>0</v>
      </c>
      <c r="AK230" s="2">
        <v>0</v>
      </c>
      <c r="AL230" s="2">
        <v>1</v>
      </c>
      <c r="AM230" s="2">
        <f>(AL230/E230)*60</f>
        <v>1.7603911980440095</v>
      </c>
      <c r="AN230" s="2" t="s">
        <v>450</v>
      </c>
      <c r="AO230" s="2">
        <v>26</v>
      </c>
      <c r="AP230" s="2">
        <v>10</v>
      </c>
      <c r="AQ230" s="14">
        <f>(AP230/E230)*60</f>
        <v>17.603911980440095</v>
      </c>
    </row>
    <row r="231" spans="1:43" x14ac:dyDescent="0.35">
      <c r="A231" s="5" t="s">
        <v>466</v>
      </c>
      <c r="B231" s="5" t="s">
        <v>71</v>
      </c>
      <c r="C231" s="2" t="s">
        <v>39</v>
      </c>
      <c r="D231" s="2">
        <v>3</v>
      </c>
      <c r="E231" s="3">
        <v>3.7833333333333332</v>
      </c>
      <c r="F231" s="2">
        <v>0</v>
      </c>
      <c r="G231" s="14">
        <f>(F231/E231)*60</f>
        <v>0</v>
      </c>
      <c r="H231" s="2">
        <v>0</v>
      </c>
      <c r="I231" s="14">
        <f>(H231/E231)*60</f>
        <v>0</v>
      </c>
      <c r="J231" s="2">
        <v>0</v>
      </c>
      <c r="K231" s="2">
        <v>0</v>
      </c>
      <c r="L231" s="2">
        <v>1</v>
      </c>
      <c r="M231" s="2">
        <v>0</v>
      </c>
      <c r="N231" s="2">
        <v>0.01</v>
      </c>
      <c r="O231" s="2">
        <v>0.01</v>
      </c>
      <c r="P231" s="2">
        <f>(O231/E231)*60</f>
        <v>0.15859030837004406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12">
        <v>0</v>
      </c>
      <c r="W231" s="2">
        <v>0</v>
      </c>
      <c r="X231" s="2">
        <v>0</v>
      </c>
      <c r="Y231" s="2">
        <v>0</v>
      </c>
      <c r="Z231" s="2">
        <f>Y231-X231</f>
        <v>0</v>
      </c>
      <c r="AA231" s="2">
        <f>(Z231/E231)*60</f>
        <v>0</v>
      </c>
      <c r="AB231" s="2">
        <v>1</v>
      </c>
      <c r="AC231" s="2">
        <f>(AB231/E231)*60</f>
        <v>15.859030837004406</v>
      </c>
      <c r="AD231" s="2">
        <v>1</v>
      </c>
      <c r="AE231" s="2">
        <f>(AD231/E231)*60</f>
        <v>15.859030837004406</v>
      </c>
      <c r="AF231" s="2">
        <v>0.06</v>
      </c>
      <c r="AG231" s="2">
        <v>0.5</v>
      </c>
      <c r="AH231" s="2">
        <f>AF231-AG231</f>
        <v>-0.44</v>
      </c>
      <c r="AI231" s="2">
        <v>0</v>
      </c>
      <c r="AJ231" s="2">
        <f>(AI231/E231)*60</f>
        <v>0</v>
      </c>
      <c r="AK231" s="2">
        <v>0</v>
      </c>
      <c r="AL231" s="2">
        <v>0</v>
      </c>
      <c r="AM231" s="2">
        <f>(AL231/E231)*60</f>
        <v>0</v>
      </c>
      <c r="AN231" s="2" t="s">
        <v>439</v>
      </c>
      <c r="AO231" s="2">
        <v>1</v>
      </c>
      <c r="AP231" s="2">
        <v>1</v>
      </c>
      <c r="AQ231" s="14">
        <f>(AP231/E231)*60</f>
        <v>15.859030837004406</v>
      </c>
    </row>
    <row r="232" spans="1:43" x14ac:dyDescent="0.35">
      <c r="A232" s="5" t="s">
        <v>481</v>
      </c>
      <c r="B232" s="5" t="s">
        <v>71</v>
      </c>
      <c r="C232" s="2" t="s">
        <v>31</v>
      </c>
      <c r="D232" s="2">
        <v>3</v>
      </c>
      <c r="E232" s="3">
        <v>14.75</v>
      </c>
      <c r="F232" s="2">
        <v>0</v>
      </c>
      <c r="G232" s="14">
        <f>(F232/E232)*60</f>
        <v>0</v>
      </c>
      <c r="H232" s="2">
        <v>0</v>
      </c>
      <c r="I232" s="14">
        <f>(H232/E232)*60</f>
        <v>0</v>
      </c>
      <c r="J232" s="2">
        <v>0</v>
      </c>
      <c r="K232" s="2">
        <v>0</v>
      </c>
      <c r="L232" s="2">
        <v>1</v>
      </c>
      <c r="M232" s="2">
        <v>1</v>
      </c>
      <c r="N232" s="2">
        <v>0.03</v>
      </c>
      <c r="O232" s="2">
        <v>0.03</v>
      </c>
      <c r="P232" s="2">
        <f>(O232/E232)*60</f>
        <v>0.12203389830508475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12">
        <v>0</v>
      </c>
      <c r="W232" s="2">
        <v>0</v>
      </c>
      <c r="X232" s="2">
        <v>0</v>
      </c>
      <c r="Y232" s="2">
        <v>0</v>
      </c>
      <c r="Z232" s="2">
        <f>Y232-X232</f>
        <v>0</v>
      </c>
      <c r="AA232" s="2">
        <f>(Z232/E232)*60</f>
        <v>0</v>
      </c>
      <c r="AB232" s="2">
        <v>4</v>
      </c>
      <c r="AC232" s="2">
        <f>(AB232/E232)*60</f>
        <v>16.271186440677965</v>
      </c>
      <c r="AD232" s="2">
        <v>5</v>
      </c>
      <c r="AE232" s="2">
        <f>(AD232/E232)*60</f>
        <v>20.338983050847457</v>
      </c>
      <c r="AF232" s="2">
        <v>0.48</v>
      </c>
      <c r="AG232" s="2">
        <v>0.38</v>
      </c>
      <c r="AH232" s="2">
        <f>AF232-AG232</f>
        <v>9.9999999999999978E-2</v>
      </c>
      <c r="AI232" s="2">
        <v>0</v>
      </c>
      <c r="AJ232" s="2">
        <f>(AI232/E232)*60</f>
        <v>0</v>
      </c>
      <c r="AK232" s="2">
        <v>1</v>
      </c>
      <c r="AL232" s="2">
        <v>0</v>
      </c>
      <c r="AM232" s="2">
        <f>(AL232/E232)*60</f>
        <v>0</v>
      </c>
      <c r="AN232" s="2" t="s">
        <v>435</v>
      </c>
      <c r="AO232" s="2">
        <v>10</v>
      </c>
      <c r="AP232" s="2">
        <v>2</v>
      </c>
      <c r="AQ232" s="14">
        <f>(AP232/E232)*60</f>
        <v>8.1355932203389827</v>
      </c>
    </row>
    <row r="233" spans="1:43" x14ac:dyDescent="0.35">
      <c r="A233" s="5" t="s">
        <v>479</v>
      </c>
      <c r="B233" s="5" t="s">
        <v>46</v>
      </c>
      <c r="C233" s="2" t="s">
        <v>39</v>
      </c>
      <c r="D233" s="2">
        <v>3</v>
      </c>
      <c r="E233" s="3">
        <v>23.283333333333335</v>
      </c>
      <c r="F233" s="2">
        <v>0</v>
      </c>
      <c r="G233" s="14">
        <f>(F233/E233)*60</f>
        <v>0</v>
      </c>
      <c r="H233" s="2">
        <v>0</v>
      </c>
      <c r="I233" s="14">
        <f>(H233/E233)*60</f>
        <v>0</v>
      </c>
      <c r="J233" s="2">
        <v>0</v>
      </c>
      <c r="K233" s="2">
        <v>0</v>
      </c>
      <c r="L233" s="2">
        <v>5</v>
      </c>
      <c r="M233" s="2">
        <v>4</v>
      </c>
      <c r="N233" s="2">
        <v>0.03</v>
      </c>
      <c r="O233" s="2">
        <v>0.05</v>
      </c>
      <c r="P233" s="2">
        <f>(O233/E233)*60</f>
        <v>0.12884753042233357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12">
        <v>0</v>
      </c>
      <c r="W233" s="2">
        <v>0</v>
      </c>
      <c r="X233" s="2">
        <v>2</v>
      </c>
      <c r="Y233" s="2">
        <v>0</v>
      </c>
      <c r="Z233" s="2">
        <f>Y233-X233</f>
        <v>-2</v>
      </c>
      <c r="AA233" s="2">
        <f>(Z233/E233)*60</f>
        <v>-5.1539012168933427</v>
      </c>
      <c r="AB233" s="2">
        <v>5</v>
      </c>
      <c r="AC233" s="2">
        <f>(AB233/E233)*60</f>
        <v>12.884753042233356</v>
      </c>
      <c r="AD233" s="2">
        <v>5</v>
      </c>
      <c r="AE233" s="2">
        <f>(AD233/E233)*60</f>
        <v>12.884753042233356</v>
      </c>
      <c r="AF233" s="2">
        <v>1.26</v>
      </c>
      <c r="AG233" s="2">
        <v>0.82</v>
      </c>
      <c r="AH233" s="2">
        <f>AF233-AG233</f>
        <v>0.44000000000000006</v>
      </c>
      <c r="AI233" s="2">
        <v>0</v>
      </c>
      <c r="AJ233" s="2">
        <f>(AI233/E233)*60</f>
        <v>0</v>
      </c>
      <c r="AK233" s="2">
        <v>0</v>
      </c>
      <c r="AL233" s="2">
        <v>2</v>
      </c>
      <c r="AM233" s="2">
        <f>(AL233/E233)*60</f>
        <v>5.1539012168933427</v>
      </c>
      <c r="AN233" s="2" t="s">
        <v>480</v>
      </c>
      <c r="AO233" s="2">
        <v>5</v>
      </c>
      <c r="AP233" s="2">
        <v>2</v>
      </c>
      <c r="AQ233" s="14">
        <f>(AP233/E233)*60</f>
        <v>5.1539012168933427</v>
      </c>
    </row>
    <row r="234" spans="1:43" x14ac:dyDescent="0.35">
      <c r="A234" s="5" t="s">
        <v>425</v>
      </c>
      <c r="B234" s="5" t="s">
        <v>122</v>
      </c>
      <c r="C234" s="2" t="s">
        <v>31</v>
      </c>
      <c r="D234" s="2">
        <v>2</v>
      </c>
      <c r="E234" s="3">
        <v>39.333333333333336</v>
      </c>
      <c r="F234" s="2">
        <v>0</v>
      </c>
      <c r="G234" s="14">
        <f>(F234/E234)*60</f>
        <v>0</v>
      </c>
      <c r="H234" s="2">
        <v>0</v>
      </c>
      <c r="I234" s="14">
        <f>(H234/E234)*60</f>
        <v>0</v>
      </c>
      <c r="J234" s="2">
        <v>0</v>
      </c>
      <c r="K234" s="2">
        <v>3</v>
      </c>
      <c r="L234" s="2">
        <v>4</v>
      </c>
      <c r="M234" s="2">
        <v>3</v>
      </c>
      <c r="N234" s="2">
        <v>0.38</v>
      </c>
      <c r="O234" s="2">
        <v>0.75</v>
      </c>
      <c r="P234" s="2">
        <f>(O234/E234)*60</f>
        <v>1.1440677966101693</v>
      </c>
      <c r="Q234" s="2">
        <v>0</v>
      </c>
      <c r="R234" s="2">
        <v>0</v>
      </c>
      <c r="S234" s="2">
        <v>0</v>
      </c>
      <c r="T234" s="2">
        <v>0</v>
      </c>
      <c r="U234" s="2">
        <v>1</v>
      </c>
      <c r="V234" s="12">
        <v>1</v>
      </c>
      <c r="W234" s="2">
        <v>2</v>
      </c>
      <c r="X234" s="2">
        <v>1</v>
      </c>
      <c r="Y234" s="2">
        <v>0</v>
      </c>
      <c r="Z234" s="2">
        <f>Y234-X234</f>
        <v>-1</v>
      </c>
      <c r="AA234" s="2">
        <f>(Z234/E234)*60</f>
        <v>-1.5254237288135593</v>
      </c>
      <c r="AB234" s="2">
        <v>5</v>
      </c>
      <c r="AC234" s="2">
        <f>(AB234/E234)*60</f>
        <v>7.6271186440677958</v>
      </c>
      <c r="AD234" s="2">
        <v>11</v>
      </c>
      <c r="AE234" s="2">
        <f>(AD234/E234)*60</f>
        <v>16.779661016949152</v>
      </c>
      <c r="AF234" s="2">
        <v>2.35</v>
      </c>
      <c r="AG234" s="2">
        <v>4.6500000000000004</v>
      </c>
      <c r="AH234" s="2">
        <f>AF234-AG234</f>
        <v>-2.3000000000000003</v>
      </c>
      <c r="AI234" s="2">
        <v>3</v>
      </c>
      <c r="AJ234" s="2">
        <f>(AI234/E234)*60</f>
        <v>4.5762711864406773</v>
      </c>
      <c r="AK234" s="2">
        <v>1</v>
      </c>
      <c r="AL234" s="2">
        <v>0</v>
      </c>
      <c r="AM234" s="2">
        <f>(AL234/E234)*60</f>
        <v>0</v>
      </c>
      <c r="AN234" s="2" t="s">
        <v>426</v>
      </c>
      <c r="AO234" s="2">
        <v>18</v>
      </c>
      <c r="AP234" s="2">
        <v>10</v>
      </c>
      <c r="AQ234" s="14">
        <f>(AP234/E234)*60</f>
        <v>15.254237288135592</v>
      </c>
    </row>
    <row r="235" spans="1:43" x14ac:dyDescent="0.35">
      <c r="A235" s="5" t="s">
        <v>406</v>
      </c>
      <c r="B235" s="5" t="s">
        <v>108</v>
      </c>
      <c r="C235" s="2" t="s">
        <v>31</v>
      </c>
      <c r="D235" s="2">
        <v>2</v>
      </c>
      <c r="E235" s="3">
        <v>24.75</v>
      </c>
      <c r="F235" s="2">
        <v>1</v>
      </c>
      <c r="G235" s="14">
        <f>(F235/E235)*60</f>
        <v>2.4242424242424243</v>
      </c>
      <c r="H235" s="2">
        <v>0</v>
      </c>
      <c r="I235" s="14">
        <f>(H235/E235)*60</f>
        <v>0</v>
      </c>
      <c r="J235" s="2">
        <v>1</v>
      </c>
      <c r="K235" s="2">
        <v>2</v>
      </c>
      <c r="L235" s="2">
        <v>5</v>
      </c>
      <c r="M235" s="2">
        <v>3</v>
      </c>
      <c r="N235" s="2">
        <v>0.12</v>
      </c>
      <c r="O235" s="2">
        <v>0.35</v>
      </c>
      <c r="P235" s="2">
        <f>(O235/E235)*60</f>
        <v>0.8484848484848484</v>
      </c>
      <c r="Q235" s="2">
        <v>0</v>
      </c>
      <c r="R235" s="2">
        <v>0</v>
      </c>
      <c r="S235" s="2">
        <v>0</v>
      </c>
      <c r="T235" s="2">
        <v>0</v>
      </c>
      <c r="U235" s="2">
        <v>3</v>
      </c>
      <c r="V235" s="12">
        <v>2</v>
      </c>
      <c r="W235" s="2">
        <v>5</v>
      </c>
      <c r="X235" s="2">
        <v>0</v>
      </c>
      <c r="Y235" s="2">
        <v>1</v>
      </c>
      <c r="Z235" s="2">
        <f>Y235-X235</f>
        <v>1</v>
      </c>
      <c r="AA235" s="2">
        <f>(Z235/E235)*60</f>
        <v>2.4242424242424243</v>
      </c>
      <c r="AB235" s="2">
        <v>4</v>
      </c>
      <c r="AC235" s="2">
        <f>(AB235/E235)*60</f>
        <v>9.6969696969696972</v>
      </c>
      <c r="AD235" s="2">
        <v>11</v>
      </c>
      <c r="AE235" s="2">
        <f>(AD235/E235)*60</f>
        <v>26.666666666666664</v>
      </c>
      <c r="AF235" s="2">
        <v>1.1399999999999999</v>
      </c>
      <c r="AG235" s="2">
        <v>2.2799999999999998</v>
      </c>
      <c r="AH235" s="2">
        <f>AF235-AG235</f>
        <v>-1.1399999999999999</v>
      </c>
      <c r="AI235" s="2">
        <v>2</v>
      </c>
      <c r="AJ235" s="2">
        <f>(AI235/E235)*60</f>
        <v>4.8484848484848486</v>
      </c>
      <c r="AK235" s="2">
        <v>0</v>
      </c>
      <c r="AL235" s="2">
        <v>0</v>
      </c>
      <c r="AM235" s="2">
        <f>(AL235/E235)*60</f>
        <v>0</v>
      </c>
      <c r="AN235" s="2" t="s">
        <v>398</v>
      </c>
      <c r="AO235" s="2">
        <v>15</v>
      </c>
      <c r="AP235" s="2">
        <v>6</v>
      </c>
      <c r="AQ235" s="14">
        <f>(AP235/E235)*60</f>
        <v>14.545454545454547</v>
      </c>
    </row>
    <row r="236" spans="1:43" x14ac:dyDescent="0.35">
      <c r="A236" s="5" t="s">
        <v>483</v>
      </c>
      <c r="B236" s="5" t="s">
        <v>108</v>
      </c>
      <c r="C236" s="2" t="s">
        <v>31</v>
      </c>
      <c r="D236" s="2">
        <v>2</v>
      </c>
      <c r="E236" s="3">
        <v>21.45</v>
      </c>
      <c r="F236" s="2">
        <v>0</v>
      </c>
      <c r="G236" s="14">
        <f>(F236/E236)*60</f>
        <v>0</v>
      </c>
      <c r="H236" s="2">
        <v>0</v>
      </c>
      <c r="I236" s="14">
        <f>(H236/E236)*60</f>
        <v>0</v>
      </c>
      <c r="J236" s="2">
        <v>0</v>
      </c>
      <c r="K236" s="2">
        <v>0</v>
      </c>
      <c r="L236" s="2">
        <v>3</v>
      </c>
      <c r="M236" s="2">
        <v>2</v>
      </c>
      <c r="N236" s="2">
        <v>0.01</v>
      </c>
      <c r="O236" s="2">
        <v>0.04</v>
      </c>
      <c r="P236" s="2">
        <f>(O236/E236)*60</f>
        <v>0.11188811188811189</v>
      </c>
      <c r="Q236" s="2">
        <v>5</v>
      </c>
      <c r="R236" s="2">
        <v>2</v>
      </c>
      <c r="S236" s="2">
        <v>3</v>
      </c>
      <c r="T236" s="8">
        <v>0.4</v>
      </c>
      <c r="U236" s="2">
        <v>3</v>
      </c>
      <c r="V236" s="12">
        <v>0</v>
      </c>
      <c r="W236" s="2">
        <v>3</v>
      </c>
      <c r="X236" s="2">
        <v>0</v>
      </c>
      <c r="Y236" s="2">
        <v>1</v>
      </c>
      <c r="Z236" s="2">
        <f>Y236-X236</f>
        <v>1</v>
      </c>
      <c r="AA236" s="2">
        <f>(Z236/E236)*60</f>
        <v>2.7972027972027975</v>
      </c>
      <c r="AB236" s="2">
        <v>3</v>
      </c>
      <c r="AC236" s="2">
        <f>(AB236/E236)*60</f>
        <v>8.3916083916083917</v>
      </c>
      <c r="AD236" s="2">
        <v>8</v>
      </c>
      <c r="AE236" s="2">
        <f>(AD236/E236)*60</f>
        <v>22.37762237762238</v>
      </c>
      <c r="AF236" s="2">
        <v>0.45</v>
      </c>
      <c r="AG236" s="2">
        <v>2.97</v>
      </c>
      <c r="AH236" s="2">
        <f>AF236-AG236</f>
        <v>-2.52</v>
      </c>
      <c r="AI236" s="2">
        <v>0</v>
      </c>
      <c r="AJ236" s="2">
        <f>(AI236/E236)*60</f>
        <v>0</v>
      </c>
      <c r="AK236" s="2">
        <v>1</v>
      </c>
      <c r="AL236" s="2">
        <v>0</v>
      </c>
      <c r="AM236" s="2">
        <f>(AL236/E236)*60</f>
        <v>0</v>
      </c>
      <c r="AN236" s="2" t="s">
        <v>426</v>
      </c>
      <c r="AO236" s="2">
        <v>10</v>
      </c>
      <c r="AP236" s="2">
        <v>5</v>
      </c>
      <c r="AQ236" s="14">
        <f>(AP236/E236)*60</f>
        <v>13.986013986013987</v>
      </c>
    </row>
    <row r="237" spans="1:43" x14ac:dyDescent="0.35">
      <c r="A237" s="5" t="s">
        <v>434</v>
      </c>
      <c r="B237" s="5" t="s">
        <v>71</v>
      </c>
      <c r="C237" s="2" t="s">
        <v>31</v>
      </c>
      <c r="D237" s="2">
        <v>2</v>
      </c>
      <c r="E237" s="3">
        <v>15.383333333333333</v>
      </c>
      <c r="F237" s="2">
        <v>1</v>
      </c>
      <c r="G237" s="14">
        <f>(F237/E237)*60</f>
        <v>3.9003250270855903</v>
      </c>
      <c r="H237" s="2">
        <v>0</v>
      </c>
      <c r="I237" s="14">
        <f>(H237/E237)*60</f>
        <v>0</v>
      </c>
      <c r="J237" s="2">
        <v>1</v>
      </c>
      <c r="K237" s="2">
        <v>1</v>
      </c>
      <c r="L237" s="2">
        <v>2</v>
      </c>
      <c r="M237" s="2">
        <v>2</v>
      </c>
      <c r="N237" s="2">
        <v>0.16</v>
      </c>
      <c r="O237" s="2">
        <v>0.31</v>
      </c>
      <c r="P237" s="2">
        <f>(O237/E237)*60</f>
        <v>1.209100758396533</v>
      </c>
      <c r="Q237" s="2">
        <v>0</v>
      </c>
      <c r="R237" s="2">
        <v>0</v>
      </c>
      <c r="S237" s="2">
        <v>0</v>
      </c>
      <c r="T237" s="2">
        <v>0</v>
      </c>
      <c r="U237" s="2">
        <v>1</v>
      </c>
      <c r="V237" s="12">
        <v>1</v>
      </c>
      <c r="W237" s="2">
        <v>0</v>
      </c>
      <c r="X237" s="2">
        <v>0</v>
      </c>
      <c r="Y237" s="2">
        <v>0</v>
      </c>
      <c r="Z237" s="2">
        <f>Y237-X237</f>
        <v>0</v>
      </c>
      <c r="AA237" s="2">
        <f>(Z237/E237)*60</f>
        <v>0</v>
      </c>
      <c r="AB237" s="2">
        <v>7</v>
      </c>
      <c r="AC237" s="2">
        <f>(AB237/E237)*60</f>
        <v>27.302275189599136</v>
      </c>
      <c r="AD237" s="2">
        <v>6</v>
      </c>
      <c r="AE237" s="2">
        <f>(AD237/E237)*60</f>
        <v>23.401950162513543</v>
      </c>
      <c r="AF237" s="2">
        <v>0.52</v>
      </c>
      <c r="AG237" s="2">
        <v>0.91</v>
      </c>
      <c r="AH237" s="2">
        <f>AF237-AG237</f>
        <v>-0.39</v>
      </c>
      <c r="AI237" s="2">
        <v>1</v>
      </c>
      <c r="AJ237" s="2">
        <f>(AI237/E237)*60</f>
        <v>3.9003250270855903</v>
      </c>
      <c r="AK237" s="2">
        <v>0</v>
      </c>
      <c r="AL237" s="2">
        <v>0</v>
      </c>
      <c r="AM237" s="2">
        <f>(AL237/E237)*60</f>
        <v>0</v>
      </c>
      <c r="AN237" s="2" t="s">
        <v>435</v>
      </c>
      <c r="AO237" s="2">
        <v>10</v>
      </c>
      <c r="AP237" s="2">
        <v>3</v>
      </c>
      <c r="AQ237" s="14">
        <f>(AP237/E237)*60</f>
        <v>11.700975081256772</v>
      </c>
    </row>
    <row r="238" spans="1:43" x14ac:dyDescent="0.35">
      <c r="A238" s="5" t="s">
        <v>470</v>
      </c>
      <c r="B238" s="5" t="s">
        <v>30</v>
      </c>
      <c r="C238" s="2" t="s">
        <v>39</v>
      </c>
      <c r="D238" s="2">
        <v>2</v>
      </c>
      <c r="E238" s="3">
        <v>2.5166666666666666</v>
      </c>
      <c r="F238" s="2">
        <v>0</v>
      </c>
      <c r="G238" s="14">
        <f>(F238/E238)*60</f>
        <v>0</v>
      </c>
      <c r="H238" s="2">
        <v>0</v>
      </c>
      <c r="I238" s="14">
        <f>(H238/E238)*60</f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f>(O238/E238)*60</f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12">
        <v>0</v>
      </c>
      <c r="W238" s="2">
        <v>0</v>
      </c>
      <c r="X238" s="2">
        <v>0</v>
      </c>
      <c r="Y238" s="2">
        <v>0</v>
      </c>
      <c r="Z238" s="2">
        <f>Y238-X238</f>
        <v>0</v>
      </c>
      <c r="AA238" s="2">
        <f>(Z238/E238)*60</f>
        <v>0</v>
      </c>
      <c r="AB238" s="2">
        <v>1</v>
      </c>
      <c r="AC238" s="2">
        <f>(AB238/E238)*60</f>
        <v>23.841059602649008</v>
      </c>
      <c r="AD238" s="2">
        <v>0</v>
      </c>
      <c r="AE238" s="2">
        <f>(AD238/E238)*60</f>
        <v>0</v>
      </c>
      <c r="AF238" s="2">
        <v>0.01</v>
      </c>
      <c r="AG238" s="2">
        <v>0.1</v>
      </c>
      <c r="AH238" s="2">
        <f>AF238-AG238</f>
        <v>-9.0000000000000011E-2</v>
      </c>
      <c r="AI238" s="2">
        <v>0</v>
      </c>
      <c r="AJ238" s="2">
        <f>(AI238/E238)*60</f>
        <v>0</v>
      </c>
      <c r="AK238" s="2">
        <v>0</v>
      </c>
      <c r="AL238" s="2">
        <v>0</v>
      </c>
      <c r="AM238" s="2">
        <f>(AL238/E238)*60</f>
        <v>0</v>
      </c>
      <c r="AN238" s="2">
        <v>0</v>
      </c>
      <c r="AO238" s="2">
        <v>1</v>
      </c>
      <c r="AP238" s="2">
        <v>0</v>
      </c>
      <c r="AQ238" s="14">
        <f>(AP238/E238)*60</f>
        <v>0</v>
      </c>
    </row>
    <row r="239" spans="1:43" x14ac:dyDescent="0.35">
      <c r="A239" s="5" t="s">
        <v>381</v>
      </c>
      <c r="B239" s="5" t="s">
        <v>122</v>
      </c>
      <c r="C239" s="2" t="s">
        <v>31</v>
      </c>
      <c r="D239" s="2">
        <v>2</v>
      </c>
      <c r="E239" s="3">
        <v>29.166666666666668</v>
      </c>
      <c r="F239" s="2">
        <v>1</v>
      </c>
      <c r="G239" s="14">
        <f>(F239/E239)*60</f>
        <v>2.0571428571428574</v>
      </c>
      <c r="H239" s="2">
        <v>0</v>
      </c>
      <c r="I239" s="14">
        <f>(H239/E239)*60</f>
        <v>0</v>
      </c>
      <c r="J239" s="2">
        <v>1</v>
      </c>
      <c r="K239" s="2">
        <v>0</v>
      </c>
      <c r="L239" s="2">
        <v>10</v>
      </c>
      <c r="M239" s="2">
        <v>7</v>
      </c>
      <c r="N239" s="2">
        <v>0.17</v>
      </c>
      <c r="O239" s="2">
        <v>0.85</v>
      </c>
      <c r="P239" s="2">
        <f>(O239/E239)*60</f>
        <v>1.7485714285714284</v>
      </c>
      <c r="Q239" s="2">
        <v>0</v>
      </c>
      <c r="R239" s="2">
        <v>0</v>
      </c>
      <c r="S239" s="2">
        <v>0</v>
      </c>
      <c r="T239" s="2">
        <v>0</v>
      </c>
      <c r="U239" s="2">
        <v>1</v>
      </c>
      <c r="V239" s="12">
        <v>4</v>
      </c>
      <c r="W239" s="2">
        <v>3</v>
      </c>
      <c r="X239" s="2">
        <v>1</v>
      </c>
      <c r="Y239" s="2">
        <v>1</v>
      </c>
      <c r="Z239" s="2">
        <f>Y239-X239</f>
        <v>0</v>
      </c>
      <c r="AA239" s="2">
        <f>(Z239/E239)*60</f>
        <v>0</v>
      </c>
      <c r="AB239" s="2">
        <v>0</v>
      </c>
      <c r="AC239" s="2">
        <f>(AB239/E239)*60</f>
        <v>0</v>
      </c>
      <c r="AD239" s="2">
        <v>0</v>
      </c>
      <c r="AE239" s="2">
        <f>(AD239/E239)*60</f>
        <v>0</v>
      </c>
      <c r="AF239" s="2">
        <v>2.5499999999999998</v>
      </c>
      <c r="AG239" s="2">
        <v>1.57</v>
      </c>
      <c r="AH239" s="2">
        <f>AF239-AG239</f>
        <v>0.97999999999999976</v>
      </c>
      <c r="AI239" s="2">
        <v>0</v>
      </c>
      <c r="AJ239" s="2">
        <f>(AI239/E239)*60</f>
        <v>0</v>
      </c>
      <c r="AK239" s="2">
        <v>0</v>
      </c>
      <c r="AL239" s="2">
        <v>0</v>
      </c>
      <c r="AM239" s="2">
        <f>(AL239/E239)*60</f>
        <v>0</v>
      </c>
      <c r="AN239" s="2" t="s">
        <v>382</v>
      </c>
      <c r="AO239" s="2">
        <v>0</v>
      </c>
      <c r="AP239" s="2">
        <v>0</v>
      </c>
      <c r="AQ239" s="14">
        <f>(AP239/E239)*60</f>
        <v>0</v>
      </c>
    </row>
    <row r="240" spans="1:43" x14ac:dyDescent="0.35">
      <c r="A240" s="5" t="s">
        <v>457</v>
      </c>
      <c r="B240" s="5" t="s">
        <v>108</v>
      </c>
      <c r="C240" s="2" t="s">
        <v>31</v>
      </c>
      <c r="D240" s="2">
        <v>1</v>
      </c>
      <c r="E240" s="3">
        <v>16.833333333333332</v>
      </c>
      <c r="F240" s="2">
        <v>0</v>
      </c>
      <c r="G240" s="14">
        <f>(F240/E240)*60</f>
        <v>0</v>
      </c>
      <c r="H240" s="2">
        <v>0</v>
      </c>
      <c r="I240" s="14">
        <f>(H240/E240)*60</f>
        <v>0</v>
      </c>
      <c r="J240" s="2">
        <v>0</v>
      </c>
      <c r="K240" s="2">
        <v>0</v>
      </c>
      <c r="L240" s="2">
        <v>2</v>
      </c>
      <c r="M240" s="2">
        <v>0</v>
      </c>
      <c r="N240" s="2">
        <v>0.05</v>
      </c>
      <c r="O240" s="2">
        <v>0.09</v>
      </c>
      <c r="P240" s="2">
        <f>(O240/E240)*60</f>
        <v>0.3207920792079208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12">
        <v>0</v>
      </c>
      <c r="W240" s="2">
        <v>0</v>
      </c>
      <c r="X240" s="2">
        <v>0</v>
      </c>
      <c r="Y240" s="2">
        <v>0</v>
      </c>
      <c r="Z240" s="2">
        <f>Y240-X240</f>
        <v>0</v>
      </c>
      <c r="AA240" s="2">
        <f>(Z240/E240)*60</f>
        <v>0</v>
      </c>
      <c r="AB240" s="2">
        <v>2</v>
      </c>
      <c r="AC240" s="2">
        <f>(AB240/E240)*60</f>
        <v>7.1287128712871288</v>
      </c>
      <c r="AD240" s="2">
        <v>3</v>
      </c>
      <c r="AE240" s="2">
        <f>(AD240/E240)*60</f>
        <v>10.693069306930694</v>
      </c>
      <c r="AF240" s="2">
        <v>0.42</v>
      </c>
      <c r="AG240" s="2">
        <v>2.0099999999999998</v>
      </c>
      <c r="AH240" s="2">
        <f>AF240-AG240</f>
        <v>-1.5899999999999999</v>
      </c>
      <c r="AI240" s="2">
        <v>0</v>
      </c>
      <c r="AJ240" s="2">
        <f>(AI240/E240)*60</f>
        <v>0</v>
      </c>
      <c r="AK240" s="2">
        <v>0</v>
      </c>
      <c r="AL240" s="2">
        <v>0</v>
      </c>
      <c r="AM240" s="2">
        <f>(AL240/E240)*60</f>
        <v>0</v>
      </c>
      <c r="AN240" s="2" t="s">
        <v>458</v>
      </c>
      <c r="AO240" s="2">
        <v>15</v>
      </c>
      <c r="AP240" s="2">
        <v>7</v>
      </c>
      <c r="AQ240" s="14">
        <f>(AP240/E240)*60</f>
        <v>24.950495049504951</v>
      </c>
    </row>
    <row r="241" spans="1:43" x14ac:dyDescent="0.35">
      <c r="A241" s="5" t="s">
        <v>440</v>
      </c>
      <c r="B241" s="5" t="s">
        <v>46</v>
      </c>
      <c r="C241" s="2" t="s">
        <v>31</v>
      </c>
      <c r="D241" s="2">
        <v>1</v>
      </c>
      <c r="E241" s="3">
        <v>7.2166666666666668</v>
      </c>
      <c r="F241" s="2">
        <v>0</v>
      </c>
      <c r="G241" s="14">
        <f>(F241/E241)*60</f>
        <v>0</v>
      </c>
      <c r="H241" s="2">
        <v>0</v>
      </c>
      <c r="I241" s="14">
        <f>(H241/E241)*60</f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f>(O241/E241)*60</f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12">
        <v>0</v>
      </c>
      <c r="W241" s="2">
        <v>0</v>
      </c>
      <c r="X241" s="2">
        <v>0</v>
      </c>
      <c r="Y241" s="2">
        <v>0</v>
      </c>
      <c r="Z241" s="2">
        <f>Y241-X241</f>
        <v>0</v>
      </c>
      <c r="AA241" s="2">
        <f>(Z241/E241)*60</f>
        <v>0</v>
      </c>
      <c r="AB241" s="2">
        <v>1</v>
      </c>
      <c r="AC241" s="2">
        <f>(AB241/E241)*60</f>
        <v>8.3140877598152425</v>
      </c>
      <c r="AD241" s="2">
        <v>2</v>
      </c>
      <c r="AE241" s="2">
        <f>(AD241/E241)*60</f>
        <v>16.628175519630485</v>
      </c>
      <c r="AF241" s="2">
        <v>0.2</v>
      </c>
      <c r="AG241" s="2">
        <v>0.3</v>
      </c>
      <c r="AH241" s="2">
        <f>AF241-AG241</f>
        <v>-9.9999999999999978E-2</v>
      </c>
      <c r="AI241" s="2">
        <v>0</v>
      </c>
      <c r="AJ241" s="2">
        <f>(AI241/E241)*60</f>
        <v>0</v>
      </c>
      <c r="AK241" s="2">
        <v>0</v>
      </c>
      <c r="AL241" s="2">
        <v>0</v>
      </c>
      <c r="AM241" s="2">
        <f>(AL241/E241)*60</f>
        <v>0</v>
      </c>
      <c r="AN241" s="2" t="s">
        <v>441</v>
      </c>
      <c r="AO241" s="2">
        <v>5</v>
      </c>
      <c r="AP241" s="2">
        <v>3</v>
      </c>
      <c r="AQ241" s="14">
        <f>(AP241/E241)*60</f>
        <v>24.942263279445726</v>
      </c>
    </row>
    <row r="242" spans="1:43" x14ac:dyDescent="0.35">
      <c r="A242" s="5" t="s">
        <v>427</v>
      </c>
      <c r="B242" s="5" t="s">
        <v>30</v>
      </c>
      <c r="C242" s="2" t="s">
        <v>39</v>
      </c>
      <c r="D242" s="2">
        <v>1</v>
      </c>
      <c r="E242" s="3">
        <v>16.05</v>
      </c>
      <c r="F242" s="2">
        <v>0</v>
      </c>
      <c r="G242" s="14">
        <f>(F242/E242)*60</f>
        <v>0</v>
      </c>
      <c r="H242" s="2">
        <v>0</v>
      </c>
      <c r="I242" s="14">
        <f>(H242/E242)*60</f>
        <v>0</v>
      </c>
      <c r="J242" s="2">
        <v>0</v>
      </c>
      <c r="K242" s="2">
        <v>0</v>
      </c>
      <c r="L242" s="2">
        <v>4</v>
      </c>
      <c r="M242" s="2">
        <v>3</v>
      </c>
      <c r="N242" s="2">
        <v>0.02</v>
      </c>
      <c r="O242" s="2">
        <v>7.0000000000000007E-2</v>
      </c>
      <c r="P242" s="2">
        <f>(O242/E242)*60</f>
        <v>0.26168224299065418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12">
        <v>1</v>
      </c>
      <c r="W242" s="2">
        <v>1</v>
      </c>
      <c r="X242" s="2">
        <v>0</v>
      </c>
      <c r="Y242" s="2">
        <v>0</v>
      </c>
      <c r="Z242" s="2">
        <f>Y242-X242</f>
        <v>0</v>
      </c>
      <c r="AA242" s="2">
        <f>(Z242/E242)*60</f>
        <v>0</v>
      </c>
      <c r="AB242" s="2">
        <v>7</v>
      </c>
      <c r="AC242" s="2">
        <f>(AB242/E242)*60</f>
        <v>26.168224299065422</v>
      </c>
      <c r="AD242" s="2">
        <v>2</v>
      </c>
      <c r="AE242" s="2">
        <f>(AD242/E242)*60</f>
        <v>7.4766355140186915</v>
      </c>
      <c r="AF242" s="2">
        <v>0.86</v>
      </c>
      <c r="AG242" s="2">
        <v>0.59</v>
      </c>
      <c r="AH242" s="2">
        <f>AF242-AG242</f>
        <v>0.27</v>
      </c>
      <c r="AI242" s="2">
        <v>0</v>
      </c>
      <c r="AJ242" s="2">
        <f>(AI242/E242)*60</f>
        <v>0</v>
      </c>
      <c r="AK242" s="2">
        <v>0</v>
      </c>
      <c r="AL242" s="2">
        <v>0</v>
      </c>
      <c r="AM242" s="2">
        <f>(AL242/E242)*60</f>
        <v>0</v>
      </c>
      <c r="AN242" s="2" t="s">
        <v>428</v>
      </c>
      <c r="AO242" s="2">
        <v>11</v>
      </c>
      <c r="AP242" s="2">
        <v>6</v>
      </c>
      <c r="AQ242" s="14">
        <f>(AP242/E242)*60</f>
        <v>22.429906542056074</v>
      </c>
    </row>
    <row r="243" spans="1:43" x14ac:dyDescent="0.35">
      <c r="A243" s="5" t="s">
        <v>471</v>
      </c>
      <c r="B243" s="5" t="s">
        <v>46</v>
      </c>
      <c r="C243" s="2" t="s">
        <v>39</v>
      </c>
      <c r="D243" s="2">
        <v>1</v>
      </c>
      <c r="E243" s="3">
        <v>6.2333333333333334</v>
      </c>
      <c r="F243" s="2">
        <v>0</v>
      </c>
      <c r="G243" s="14">
        <f>(F243/E243)*60</f>
        <v>0</v>
      </c>
      <c r="H243" s="2">
        <v>0</v>
      </c>
      <c r="I243" s="14">
        <f>(H243/E243)*60</f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f>(O243/E243)*60</f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12">
        <v>0</v>
      </c>
      <c r="W243" s="2">
        <v>0</v>
      </c>
      <c r="X243" s="2">
        <v>0</v>
      </c>
      <c r="Y243" s="2">
        <v>0</v>
      </c>
      <c r="Z243" s="2">
        <f>Y243-X243</f>
        <v>0</v>
      </c>
      <c r="AA243" s="2">
        <f>(Z243/E243)*60</f>
        <v>0</v>
      </c>
      <c r="AB243" s="2">
        <v>2</v>
      </c>
      <c r="AC243" s="2">
        <f>(AB243/E243)*60</f>
        <v>19.251336898395721</v>
      </c>
      <c r="AD243" s="2">
        <v>1</v>
      </c>
      <c r="AE243" s="2">
        <f>(AD243/E243)*60</f>
        <v>9.6256684491978604</v>
      </c>
      <c r="AF243" s="2">
        <v>0.52</v>
      </c>
      <c r="AG243" s="2">
        <v>0.28000000000000003</v>
      </c>
      <c r="AH243" s="2">
        <f>AF243-AG243</f>
        <v>0.24</v>
      </c>
      <c r="AI243" s="2">
        <v>0</v>
      </c>
      <c r="AJ243" s="2">
        <f>(AI243/E243)*60</f>
        <v>0</v>
      </c>
      <c r="AK243" s="2">
        <v>0</v>
      </c>
      <c r="AL243" s="2">
        <v>0</v>
      </c>
      <c r="AM243" s="2">
        <f>(AL243/E243)*60</f>
        <v>0</v>
      </c>
      <c r="AN243" s="2" t="s">
        <v>445</v>
      </c>
      <c r="AO243" s="2">
        <v>1</v>
      </c>
      <c r="AP243" s="2">
        <v>0</v>
      </c>
      <c r="AQ243" s="14">
        <f>(AP243/E243)*60</f>
        <v>0</v>
      </c>
    </row>
    <row r="244" spans="1:43" x14ac:dyDescent="0.35">
      <c r="A244" s="5" t="s">
        <v>456</v>
      </c>
      <c r="B244" s="5" t="s">
        <v>105</v>
      </c>
      <c r="C244" s="2" t="s">
        <v>39</v>
      </c>
      <c r="D244" s="2">
        <v>1</v>
      </c>
      <c r="E244" s="3">
        <v>2.6333333333333333</v>
      </c>
      <c r="F244" s="2">
        <v>0</v>
      </c>
      <c r="G244" s="14">
        <f>(F244/E244)*60</f>
        <v>0</v>
      </c>
      <c r="H244" s="2">
        <v>0</v>
      </c>
      <c r="I244" s="14">
        <f>(H244/E244)*60</f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f>(O244/E244)*60</f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12">
        <v>0</v>
      </c>
      <c r="W244" s="2">
        <v>0</v>
      </c>
      <c r="X244" s="2">
        <v>0</v>
      </c>
      <c r="Y244" s="2">
        <v>1</v>
      </c>
      <c r="Z244" s="2">
        <f>Y244-X244</f>
        <v>1</v>
      </c>
      <c r="AA244" s="2">
        <f>(Z244/E244)*60</f>
        <v>22.784810126582279</v>
      </c>
      <c r="AB244" s="2">
        <v>0</v>
      </c>
      <c r="AC244" s="2">
        <f>(AB244/E244)*60</f>
        <v>0</v>
      </c>
      <c r="AD244" s="2">
        <v>0</v>
      </c>
      <c r="AE244" s="2">
        <f>(AD244/E244)*60</f>
        <v>0</v>
      </c>
      <c r="AF244" s="2">
        <v>0.01</v>
      </c>
      <c r="AG244" s="2">
        <v>0.15</v>
      </c>
      <c r="AH244" s="2">
        <f>AF244-AG244</f>
        <v>-0.13999999999999999</v>
      </c>
      <c r="AI244" s="2">
        <v>0</v>
      </c>
      <c r="AJ244" s="2">
        <f>(AI244/E244)*60</f>
        <v>0</v>
      </c>
      <c r="AK244" s="2">
        <v>0</v>
      </c>
      <c r="AL244" s="2">
        <v>0</v>
      </c>
      <c r="AM244" s="2">
        <f>(AL244/E244)*60</f>
        <v>0</v>
      </c>
      <c r="AN244" s="2">
        <v>0</v>
      </c>
      <c r="AO244" s="2">
        <v>0</v>
      </c>
      <c r="AP244" s="2">
        <v>0</v>
      </c>
      <c r="AQ244" s="14">
        <f>(AP244/E244)*60</f>
        <v>0</v>
      </c>
    </row>
    <row r="245" spans="1:43" x14ac:dyDescent="0.35">
      <c r="A245" s="5" t="s">
        <v>475</v>
      </c>
      <c r="B245" s="5" t="s">
        <v>122</v>
      </c>
      <c r="C245" s="2" t="s">
        <v>31</v>
      </c>
      <c r="D245" s="2">
        <v>1</v>
      </c>
      <c r="E245" s="3">
        <v>1.1666666666666667</v>
      </c>
      <c r="F245" s="2">
        <v>0</v>
      </c>
      <c r="G245" s="14">
        <f>(F245/E245)*60</f>
        <v>0</v>
      </c>
      <c r="H245" s="2">
        <v>0</v>
      </c>
      <c r="I245" s="14">
        <f>(H245/E245)*60</f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f>(O245/E245)*60</f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12">
        <v>0</v>
      </c>
      <c r="W245" s="2">
        <v>0</v>
      </c>
      <c r="X245" s="2">
        <v>0</v>
      </c>
      <c r="Y245" s="2">
        <v>0</v>
      </c>
      <c r="Z245" s="2">
        <f>Y245-X245</f>
        <v>0</v>
      </c>
      <c r="AA245" s="2">
        <f>(Z245/E245)*60</f>
        <v>0</v>
      </c>
      <c r="AB245" s="2">
        <v>0</v>
      </c>
      <c r="AC245" s="2">
        <f>(AB245/E245)*60</f>
        <v>0</v>
      </c>
      <c r="AD245" s="2">
        <v>0</v>
      </c>
      <c r="AE245" s="2">
        <f>(AD245/E245)*60</f>
        <v>0</v>
      </c>
      <c r="AF245" s="2">
        <v>0</v>
      </c>
      <c r="AG245" s="2">
        <v>0</v>
      </c>
      <c r="AH245" s="2">
        <f>AF245-AG245</f>
        <v>0</v>
      </c>
      <c r="AI245" s="2">
        <v>0</v>
      </c>
      <c r="AJ245" s="2">
        <f>(AI245/E245)*60</f>
        <v>0</v>
      </c>
      <c r="AK245" s="2">
        <v>0</v>
      </c>
      <c r="AL245" s="2">
        <v>0</v>
      </c>
      <c r="AM245" s="2">
        <f>(AL245/E245)*60</f>
        <v>0</v>
      </c>
      <c r="AN245" s="2">
        <v>0</v>
      </c>
      <c r="AO245" s="2">
        <v>1</v>
      </c>
      <c r="AP245" s="2">
        <v>0</v>
      </c>
      <c r="AQ245" s="14">
        <f>(AP245/E245)*60</f>
        <v>0</v>
      </c>
    </row>
    <row r="246" spans="1:43" x14ac:dyDescent="0.35">
      <c r="A246" s="5" t="s">
        <v>469</v>
      </c>
      <c r="B246" s="5" t="s">
        <v>30</v>
      </c>
      <c r="C246" s="2" t="s">
        <v>39</v>
      </c>
      <c r="D246" s="2">
        <v>1</v>
      </c>
      <c r="E246" s="3">
        <v>0.56666666666666665</v>
      </c>
      <c r="F246" s="2">
        <v>0</v>
      </c>
      <c r="G246" s="14">
        <f>(F246/E246)*60</f>
        <v>0</v>
      </c>
      <c r="H246" s="2">
        <v>0</v>
      </c>
      <c r="I246" s="14">
        <f>(H246/E246)*60</f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f>(O246/E246)*60</f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12">
        <v>0</v>
      </c>
      <c r="W246" s="2">
        <v>0</v>
      </c>
      <c r="X246" s="2">
        <v>0</v>
      </c>
      <c r="Y246" s="2">
        <v>0</v>
      </c>
      <c r="Z246" s="2">
        <f>Y246-X246</f>
        <v>0</v>
      </c>
      <c r="AA246" s="2">
        <f>(Z246/E246)*60</f>
        <v>0</v>
      </c>
      <c r="AB246" s="2">
        <v>0</v>
      </c>
      <c r="AC246" s="2">
        <f>(AB246/E246)*60</f>
        <v>0</v>
      </c>
      <c r="AD246" s="2">
        <v>0</v>
      </c>
      <c r="AE246" s="2">
        <f>(AD246/E246)*60</f>
        <v>0</v>
      </c>
      <c r="AF246" s="2">
        <v>0</v>
      </c>
      <c r="AG246" s="2">
        <v>0.03</v>
      </c>
      <c r="AH246" s="2">
        <f>AF246-AG246</f>
        <v>-0.03</v>
      </c>
      <c r="AI246" s="2">
        <v>0</v>
      </c>
      <c r="AJ246" s="2">
        <f>(AI246/E246)*60</f>
        <v>0</v>
      </c>
      <c r="AK246" s="2">
        <v>0</v>
      </c>
      <c r="AL246" s="2">
        <v>0</v>
      </c>
      <c r="AM246" s="2">
        <f>(AL246/E246)*60</f>
        <v>0</v>
      </c>
      <c r="AN246" s="2">
        <v>0</v>
      </c>
      <c r="AO246" s="2">
        <v>0</v>
      </c>
      <c r="AP246" s="2">
        <v>0</v>
      </c>
      <c r="AQ246" s="14">
        <f>(AP246/E246)*60</f>
        <v>0</v>
      </c>
    </row>
    <row r="247" spans="1:43" x14ac:dyDescent="0.35">
      <c r="A247" s="5" t="s">
        <v>442</v>
      </c>
      <c r="B247" s="5" t="s">
        <v>105</v>
      </c>
      <c r="C247" s="2" t="s">
        <v>31</v>
      </c>
      <c r="D247" s="2">
        <v>1</v>
      </c>
      <c r="E247" s="3">
        <v>1.0666666666666667</v>
      </c>
      <c r="F247" s="2">
        <v>0</v>
      </c>
      <c r="G247" s="14">
        <f>(F247/E247)*60</f>
        <v>0</v>
      </c>
      <c r="H247" s="2">
        <v>0</v>
      </c>
      <c r="I247" s="14">
        <f>(H247/E247)*60</f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f>(O247/E247)*60</f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12">
        <v>0</v>
      </c>
      <c r="W247" s="2">
        <v>0</v>
      </c>
      <c r="X247" s="2">
        <v>0</v>
      </c>
      <c r="Y247" s="2">
        <v>0</v>
      </c>
      <c r="Z247" s="2">
        <f>Y247-X247</f>
        <v>0</v>
      </c>
      <c r="AA247" s="2">
        <f>(Z247/E247)*60</f>
        <v>0</v>
      </c>
      <c r="AB247" s="2">
        <v>0</v>
      </c>
      <c r="AC247" s="2">
        <f>(AB247/E247)*60</f>
        <v>0</v>
      </c>
      <c r="AD247" s="2">
        <v>1</v>
      </c>
      <c r="AE247" s="2">
        <f>(AD247/E247)*60</f>
        <v>56.25</v>
      </c>
      <c r="AF247" s="2">
        <v>0</v>
      </c>
      <c r="AG247" s="2">
        <v>0.25</v>
      </c>
      <c r="AH247" s="2">
        <f>AF247-AG247</f>
        <v>-0.25</v>
      </c>
      <c r="AI247" s="2">
        <v>0</v>
      </c>
      <c r="AJ247" s="2">
        <f>(AI247/E247)*60</f>
        <v>0</v>
      </c>
      <c r="AK247" s="2">
        <v>0</v>
      </c>
      <c r="AL247" s="2">
        <v>0</v>
      </c>
      <c r="AM247" s="2">
        <f>(AL247/E247)*60</f>
        <v>0</v>
      </c>
      <c r="AN247" s="2" t="s">
        <v>443</v>
      </c>
      <c r="AO247" s="2">
        <v>0</v>
      </c>
      <c r="AP247" s="2">
        <v>0</v>
      </c>
      <c r="AQ247" s="14">
        <f>(AP247/E247)*60</f>
        <v>0</v>
      </c>
    </row>
    <row r="248" spans="1:43" x14ac:dyDescent="0.35">
      <c r="A248" s="5" t="s">
        <v>451</v>
      </c>
      <c r="B248" s="5" t="s">
        <v>122</v>
      </c>
      <c r="C248" s="2" t="s">
        <v>31</v>
      </c>
      <c r="D248" s="2">
        <v>1</v>
      </c>
      <c r="E248" s="3">
        <v>8.8833333333333329</v>
      </c>
      <c r="F248" s="2">
        <v>0</v>
      </c>
      <c r="G248" s="14">
        <f>(F248/E248)*60</f>
        <v>0</v>
      </c>
      <c r="H248" s="2">
        <v>0</v>
      </c>
      <c r="I248" s="14">
        <f>(H248/E248)*60</f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f>(O248/E248)*60</f>
        <v>0</v>
      </c>
      <c r="Q248" s="2">
        <v>0</v>
      </c>
      <c r="R248" s="2">
        <v>0</v>
      </c>
      <c r="S248" s="2">
        <v>0</v>
      </c>
      <c r="T248" s="2">
        <v>0</v>
      </c>
      <c r="U248" s="2">
        <v>1</v>
      </c>
      <c r="V248" s="12">
        <v>0</v>
      </c>
      <c r="W248" s="2">
        <v>1</v>
      </c>
      <c r="X248" s="2">
        <v>0</v>
      </c>
      <c r="Y248" s="2">
        <v>0</v>
      </c>
      <c r="Z248" s="2">
        <f>Y248-X248</f>
        <v>0</v>
      </c>
      <c r="AA248" s="2">
        <f>(Z248/E248)*60</f>
        <v>0</v>
      </c>
      <c r="AB248" s="2">
        <v>0</v>
      </c>
      <c r="AC248" s="2">
        <f>(AB248/E248)*60</f>
        <v>0</v>
      </c>
      <c r="AD248" s="2">
        <v>0</v>
      </c>
      <c r="AE248" s="2">
        <f>(AD248/E248)*60</f>
        <v>0</v>
      </c>
      <c r="AF248" s="2">
        <v>0.08</v>
      </c>
      <c r="AG248" s="2">
        <v>0.77</v>
      </c>
      <c r="AH248" s="2">
        <f>AF248-AG248</f>
        <v>-0.69000000000000006</v>
      </c>
      <c r="AI248" s="2">
        <v>0</v>
      </c>
      <c r="AJ248" s="2">
        <f>(AI248/E248)*60</f>
        <v>0</v>
      </c>
      <c r="AK248" s="2">
        <v>0</v>
      </c>
      <c r="AL248" s="2">
        <v>0</v>
      </c>
      <c r="AM248" s="2">
        <f>(AL248/E248)*60</f>
        <v>0</v>
      </c>
      <c r="AN248" s="2">
        <v>0</v>
      </c>
      <c r="AO248" s="2">
        <v>0</v>
      </c>
      <c r="AP248" s="2">
        <v>0</v>
      </c>
      <c r="AQ248" s="14">
        <f>(AP248/E248)*60</f>
        <v>0</v>
      </c>
    </row>
  </sheetData>
  <autoFilter ref="A1:AQ248" xr:uid="{00000000-0001-0000-0000-000000000000}">
    <sortState xmlns:xlrd2="http://schemas.microsoft.com/office/spreadsheetml/2017/richdata2" ref="A2:AQ248">
      <sortCondition descending="1" ref="D1:D248"/>
    </sortState>
  </autoFilter>
  <phoneticPr fontId="6" type="noConversion"/>
  <pageMargins left="0.7" right="0.7" top="0.75" bottom="0.75" header="0.3" footer="0.3"/>
  <ignoredErrors>
    <ignoredError sqref="A1:D1 Q1:T1 AF1:AG1 AK1 AN1:AP1 V1:Y1 F1 H1 J1:O1 AB1 A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B2DD-5103-414A-ADE6-8DAA3E20FF36}">
  <dimension ref="A1:J11"/>
  <sheetViews>
    <sheetView workbookViewId="0">
      <selection activeCell="H27" sqref="H27"/>
    </sheetView>
  </sheetViews>
  <sheetFormatPr defaultRowHeight="14.5" x14ac:dyDescent="0.35"/>
  <cols>
    <col min="1" max="2" width="17.1796875" bestFit="1" customWidth="1"/>
  </cols>
  <sheetData>
    <row r="1" spans="1:10" s="16" customFormat="1" x14ac:dyDescent="0.35">
      <c r="A1" s="17" t="s">
        <v>1</v>
      </c>
      <c r="B1" s="16" t="s">
        <v>500</v>
      </c>
      <c r="C1" s="17" t="s">
        <v>505</v>
      </c>
      <c r="D1" s="17" t="s">
        <v>506</v>
      </c>
      <c r="E1" s="17" t="s">
        <v>507</v>
      </c>
      <c r="F1" s="17" t="s">
        <v>508</v>
      </c>
      <c r="G1" s="16" t="s">
        <v>501</v>
      </c>
      <c r="H1" s="16" t="s">
        <v>502</v>
      </c>
      <c r="I1" s="16" t="s">
        <v>503</v>
      </c>
      <c r="J1" s="16" t="s">
        <v>504</v>
      </c>
    </row>
    <row r="2" spans="1:10" x14ac:dyDescent="0.35">
      <c r="A2" t="s">
        <v>46</v>
      </c>
      <c r="B2" s="16">
        <v>36</v>
      </c>
      <c r="C2" s="16">
        <v>24</v>
      </c>
      <c r="D2" s="16">
        <v>6</v>
      </c>
      <c r="E2" s="16">
        <v>98</v>
      </c>
      <c r="F2" s="16">
        <v>56</v>
      </c>
      <c r="G2" s="16">
        <v>1</v>
      </c>
      <c r="H2" s="16">
        <v>2</v>
      </c>
      <c r="I2" s="16">
        <v>3</v>
      </c>
      <c r="J2" s="16">
        <v>0</v>
      </c>
    </row>
    <row r="3" spans="1:10" x14ac:dyDescent="0.35">
      <c r="A3" t="s">
        <v>30</v>
      </c>
      <c r="B3" s="16">
        <v>36</v>
      </c>
      <c r="C3" s="16">
        <v>23</v>
      </c>
      <c r="D3" s="16">
        <v>7</v>
      </c>
      <c r="E3" s="16">
        <v>119</v>
      </c>
      <c r="F3" s="16">
        <v>67</v>
      </c>
      <c r="G3" s="16">
        <v>4</v>
      </c>
      <c r="H3" s="16">
        <v>0</v>
      </c>
      <c r="I3" s="16">
        <v>1</v>
      </c>
      <c r="J3" s="16">
        <v>1</v>
      </c>
    </row>
    <row r="4" spans="1:10" x14ac:dyDescent="0.35">
      <c r="A4" t="s">
        <v>53</v>
      </c>
      <c r="B4" s="16">
        <v>36</v>
      </c>
      <c r="C4" s="16">
        <v>20</v>
      </c>
      <c r="D4" s="16">
        <v>5</v>
      </c>
      <c r="E4" s="16">
        <v>105</v>
      </c>
      <c r="F4" s="16">
        <v>66</v>
      </c>
      <c r="G4" s="16">
        <v>6</v>
      </c>
      <c r="H4" s="16">
        <v>2</v>
      </c>
      <c r="I4" s="16">
        <v>1</v>
      </c>
      <c r="J4" s="16">
        <v>2</v>
      </c>
    </row>
    <row r="5" spans="1:10" x14ac:dyDescent="0.35">
      <c r="A5" t="s">
        <v>34</v>
      </c>
      <c r="B5" s="16">
        <v>36</v>
      </c>
      <c r="C5" s="16">
        <v>19</v>
      </c>
      <c r="D5" s="16">
        <v>11</v>
      </c>
      <c r="E5" s="16">
        <v>106</v>
      </c>
      <c r="F5" s="16">
        <v>78</v>
      </c>
      <c r="G5" s="16">
        <v>1</v>
      </c>
      <c r="H5" s="16">
        <v>2</v>
      </c>
      <c r="I5" s="16">
        <v>0</v>
      </c>
      <c r="J5" s="16">
        <v>3</v>
      </c>
    </row>
    <row r="6" spans="1:10" x14ac:dyDescent="0.35">
      <c r="A6" t="s">
        <v>71</v>
      </c>
      <c r="B6" s="16">
        <v>36</v>
      </c>
      <c r="C6" s="16">
        <v>15</v>
      </c>
      <c r="D6" s="16">
        <v>12</v>
      </c>
      <c r="E6" s="16">
        <v>90</v>
      </c>
      <c r="F6" s="16">
        <v>77</v>
      </c>
      <c r="G6" s="16">
        <v>2</v>
      </c>
      <c r="H6" s="16">
        <v>3</v>
      </c>
      <c r="I6" s="16">
        <v>1</v>
      </c>
      <c r="J6" s="16">
        <v>3</v>
      </c>
    </row>
    <row r="7" spans="1:10" x14ac:dyDescent="0.35">
      <c r="A7" t="s">
        <v>122</v>
      </c>
      <c r="B7" s="16">
        <v>36</v>
      </c>
      <c r="C7" s="16">
        <v>11</v>
      </c>
      <c r="D7" s="16">
        <v>18</v>
      </c>
      <c r="E7" s="16">
        <v>70</v>
      </c>
      <c r="F7" s="16">
        <v>95</v>
      </c>
      <c r="G7" s="16">
        <v>1</v>
      </c>
      <c r="H7" s="16">
        <v>3</v>
      </c>
      <c r="I7" s="16">
        <v>2</v>
      </c>
      <c r="J7" s="16">
        <v>1</v>
      </c>
    </row>
    <row r="8" spans="1:10" x14ac:dyDescent="0.35">
      <c r="A8" t="s">
        <v>78</v>
      </c>
      <c r="B8" s="16">
        <v>36</v>
      </c>
      <c r="C8" s="16">
        <v>11</v>
      </c>
      <c r="D8" s="16">
        <v>22</v>
      </c>
      <c r="E8" s="16">
        <v>71</v>
      </c>
      <c r="F8" s="16">
        <v>110</v>
      </c>
      <c r="G8" s="16">
        <v>1</v>
      </c>
      <c r="H8" s="16">
        <v>2</v>
      </c>
      <c r="I8" s="16">
        <v>0</v>
      </c>
      <c r="J8" s="16">
        <v>0</v>
      </c>
    </row>
    <row r="9" spans="1:10" x14ac:dyDescent="0.35">
      <c r="A9" t="s">
        <v>60</v>
      </c>
      <c r="B9" s="16">
        <v>36</v>
      </c>
      <c r="C9" s="16">
        <v>10</v>
      </c>
      <c r="D9" s="16">
        <v>18</v>
      </c>
      <c r="E9" s="16">
        <v>72</v>
      </c>
      <c r="F9" s="16">
        <v>89</v>
      </c>
      <c r="G9" s="16">
        <v>2</v>
      </c>
      <c r="H9" s="16">
        <v>2</v>
      </c>
      <c r="I9" s="16">
        <v>2</v>
      </c>
      <c r="J9" s="16">
        <v>2</v>
      </c>
    </row>
    <row r="10" spans="1:10" x14ac:dyDescent="0.35">
      <c r="A10" t="s">
        <v>108</v>
      </c>
      <c r="B10" s="16">
        <v>36</v>
      </c>
      <c r="C10" s="16">
        <v>7</v>
      </c>
      <c r="D10" s="16">
        <v>25</v>
      </c>
      <c r="E10" s="16">
        <v>75</v>
      </c>
      <c r="F10" s="16">
        <v>129</v>
      </c>
      <c r="G10" s="16">
        <v>0</v>
      </c>
      <c r="H10" s="16">
        <v>1</v>
      </c>
      <c r="I10" s="16">
        <v>2</v>
      </c>
      <c r="J10" s="16">
        <v>1</v>
      </c>
    </row>
    <row r="11" spans="1:10" x14ac:dyDescent="0.35">
      <c r="A11" t="s">
        <v>105</v>
      </c>
      <c r="B11" s="16">
        <v>36</v>
      </c>
      <c r="C11" s="16">
        <v>6</v>
      </c>
      <c r="D11" s="16">
        <v>22</v>
      </c>
      <c r="E11" s="16">
        <v>60</v>
      </c>
      <c r="F11" s="16">
        <v>99</v>
      </c>
      <c r="G11" s="16">
        <v>1</v>
      </c>
      <c r="H11" s="16">
        <v>2</v>
      </c>
      <c r="I11" s="16">
        <v>3</v>
      </c>
      <c r="J11" s="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kuikka</dc:creator>
  <cp:lastModifiedBy>Mikko kuikka</cp:lastModifiedBy>
  <dcterms:created xsi:type="dcterms:W3CDTF">2026-05-05T08:23:25Z</dcterms:created>
  <dcterms:modified xsi:type="dcterms:W3CDTF">2026-05-18T06:57:19Z</dcterms:modified>
</cp:coreProperties>
</file>